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francomansilla/Library/CloudStorage/GoogleDrive-franco.andres.mansilla@gmail.com/Mi unidad/universidad mayor/Certificación 2/3. IA Generativa/Clases/"/>
    </mc:Choice>
  </mc:AlternateContent>
  <xr:revisionPtr revIDLastSave="0" documentId="13_ncr:1_{27F71C2F-56FF-6445-88A8-DC36C12B1953}" xr6:coauthVersionLast="47" xr6:coauthVersionMax="47" xr10:uidLastSave="{00000000-0000-0000-0000-000000000000}"/>
  <bookViews>
    <workbookView xWindow="-33720" yWindow="600" windowWidth="33720" windowHeight="21000" tabRatio="500" xr2:uid="{00000000-000D-0000-FFFF-FFFF00000000}"/>
  </bookViews>
  <sheets>
    <sheet name="Instrucciones" sheetId="2" r:id="rId1"/>
    <sheet name="1. Rasgos manuales" sheetId="3" r:id="rId2"/>
    <sheet name="2. Corpus" sheetId="4" r:id="rId3"/>
    <sheet name="3. Coocurrencia" sheetId="5" r:id="rId4"/>
    <sheet name="4. Qué mejorar" sheetId="6" r:id="rId5"/>
  </sheets>
  <definedNames>
    <definedName name="v_auto">'1. Rasgos manuales'!$B$7:$G$7</definedName>
    <definedName name="v_conejo">'1. Rasgos manuales'!$B$6:$G$6</definedName>
    <definedName name="v_gato">'1. Rasgos manuales'!$B$5:$G$5</definedName>
    <definedName name="v_perro">'1. Rasgos manuales'!$B$4:$G$4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7" i="5" l="1"/>
  <c r="T7" i="5"/>
  <c r="S7" i="5"/>
  <c r="R7" i="5"/>
  <c r="Q7" i="5"/>
  <c r="P7" i="5"/>
  <c r="O7" i="5"/>
  <c r="N7" i="5"/>
  <c r="M7" i="5"/>
  <c r="L7" i="5"/>
  <c r="K7" i="5"/>
  <c r="J7" i="5"/>
  <c r="I7" i="5"/>
  <c r="H7" i="5"/>
  <c r="G7" i="5"/>
  <c r="F7" i="5"/>
  <c r="E7" i="5"/>
  <c r="D7" i="5"/>
  <c r="C7" i="5"/>
  <c r="B7" i="5"/>
  <c r="U6" i="5"/>
  <c r="T6" i="5"/>
  <c r="S6" i="5"/>
  <c r="R6" i="5"/>
  <c r="Q6" i="5"/>
  <c r="P6" i="5"/>
  <c r="O6" i="5"/>
  <c r="N6" i="5"/>
  <c r="M6" i="5"/>
  <c r="L6" i="5"/>
  <c r="K6" i="5"/>
  <c r="J6" i="5"/>
  <c r="I6" i="5"/>
  <c r="H6" i="5"/>
  <c r="G6" i="5"/>
  <c r="F6" i="5"/>
  <c r="E6" i="5"/>
  <c r="D6" i="5"/>
  <c r="C6" i="5"/>
  <c r="B6" i="5"/>
  <c r="U5" i="5"/>
  <c r="T5" i="5"/>
  <c r="S5" i="5"/>
  <c r="R5" i="5"/>
  <c r="Q5" i="5"/>
  <c r="P5" i="5"/>
  <c r="O5" i="5"/>
  <c r="N5" i="5"/>
  <c r="M5" i="5"/>
  <c r="L5" i="5"/>
  <c r="K5" i="5"/>
  <c r="J5" i="5"/>
  <c r="I5" i="5"/>
  <c r="H5" i="5"/>
  <c r="G5" i="5"/>
  <c r="F5" i="5"/>
  <c r="E5" i="5"/>
  <c r="D5" i="5"/>
  <c r="C5" i="5"/>
  <c r="B5" i="5"/>
  <c r="E14" i="5" s="1"/>
  <c r="U4" i="5"/>
  <c r="T4" i="5"/>
  <c r="S4" i="5"/>
  <c r="R4" i="5"/>
  <c r="Q4" i="5"/>
  <c r="P4" i="5"/>
  <c r="O4" i="5"/>
  <c r="N4" i="5"/>
  <c r="M4" i="5"/>
  <c r="L4" i="5"/>
  <c r="K4" i="5"/>
  <c r="J4" i="5"/>
  <c r="I4" i="5"/>
  <c r="H4" i="5"/>
  <c r="G4" i="5"/>
  <c r="F4" i="5"/>
  <c r="E4" i="5"/>
  <c r="D4" i="5"/>
  <c r="C4" i="5"/>
  <c r="B4" i="5"/>
  <c r="E13" i="5" s="1"/>
  <c r="E20" i="3"/>
  <c r="D20" i="3"/>
  <c r="C20" i="3"/>
  <c r="B20" i="3"/>
  <c r="E19" i="3"/>
  <c r="D19" i="3"/>
  <c r="C19" i="3"/>
  <c r="B19" i="3"/>
  <c r="E18" i="3"/>
  <c r="D18" i="3"/>
  <c r="C18" i="3"/>
  <c r="B18" i="3"/>
  <c r="E17" i="3"/>
  <c r="D17" i="3"/>
  <c r="C17" i="3"/>
  <c r="B17" i="3"/>
  <c r="C15" i="5" l="1"/>
  <c r="E16" i="5"/>
  <c r="B13" i="5"/>
  <c r="D15" i="5"/>
  <c r="C13" i="5"/>
  <c r="E15" i="5"/>
  <c r="D13" i="5"/>
  <c r="B16" i="5"/>
  <c r="C16" i="5"/>
  <c r="B14" i="5"/>
  <c r="D16" i="5"/>
  <c r="C14" i="5"/>
  <c r="D14" i="5"/>
  <c r="B15" i="5"/>
</calcChain>
</file>

<file path=xl/sharedStrings.xml><?xml version="1.0" encoding="utf-8"?>
<sst xmlns="http://schemas.openxmlformats.org/spreadsheetml/2006/main" count="122" uniqueCount="101">
  <si>
    <t>Cómo construir un modelo de embeddings en Excel — perro, gato, conejo y auto</t>
  </si>
  <si>
    <t>Un embedding es solo una lista de números que representa una palabra. Aquí vas a construir dos versiones con la misma idea de fondo: medir qué tan "cerca" están dos palabras comparando sus vectores. Se agregó un cuarto elemento, "auto", que no tiene nada que ver con los animales, para comprobar que el modelo lo nota — y para ver qué pasa cuando no lo nota.</t>
  </si>
  <si>
    <t>Hoja "1. Rasgos manuales"</t>
  </si>
  <si>
    <t>Tú eliges las características (tamaño, ruido que hace, etc.) y les pones un puntaje del 1 al 10 a cada palabra. Rápido de armar, pero subjetivo. Incluye la fórmula de similitud coseno explicada paso a paso.</t>
  </si>
  <si>
    <t>Hoja "2. Corpus"</t>
  </si>
  <si>
    <t>Un grupo de oraciones de ejemplo que mencionan a los tres animales, más seis oraciones sobre "auto" al final. Esto hace de "datos de entrenamiento".</t>
  </si>
  <si>
    <t>Hoja "3. Coocurrencia"</t>
  </si>
  <si>
    <t>El vector de cada palabra se arma contando, con fórmulas, cuántas veces aparece junto a cada palabra de contexto. Así se calculan los embeddings de verdad: nadie los elige a mano, emergen de los datos.</t>
  </si>
  <si>
    <t>Hoja "4. Qué mejorar"</t>
  </si>
  <si>
    <t>Un resumen honesto de qué se simplificó en este ejercicio y cómo lo resuelven los modelos de embeddings reales — los mismos que usan ChatGPT, Gemini y Claude.</t>
  </si>
  <si>
    <t>Palabra</t>
  </si>
  <si>
    <t>Tamaño (1-10)</t>
  </si>
  <si>
    <t>Hace ruido (1-10)</t>
  </si>
  <si>
    <t>Necesita paseos (1-10)</t>
  </si>
  <si>
    <t>Vive en jaula (1-10)</t>
  </si>
  <si>
    <t>Independencia (1-10)</t>
  </si>
  <si>
    <t>Cariñoso (1-10)</t>
  </si>
  <si>
    <t>perro</t>
  </si>
  <si>
    <t>gato</t>
  </si>
  <si>
    <t>conejo</t>
  </si>
  <si>
    <t>auto</t>
  </si>
  <si>
    <t>¿Qué es la similitud coseno?</t>
  </si>
  <si>
    <t>similitud(A, B) = (A · B) / (|A| × |B|)</t>
  </si>
  <si>
    <t>A · B es el producto punto entre los dos vectores: multiplicas cada par de números y sumas (en Excel, SUMPRODUCT). |A| y |B| son el "largo" de cada vector: la raíz cuadrada de la suma de sus números al cuadrado (en Excel, SQRT(SUMSQ)). El resultado va de -1 a 1: 1 significa que los dos vectores apuntan exactamente en la misma dirección, 0 que no comparten ninguna dirección en común, y los negativos que apuntan en direcciones opuestas.</t>
  </si>
  <si>
    <t>¿Por qué coseno y no solo distancia? Porque el coseno solo mira la dirección del vector, no su tamaño. Un vector [2,2] y otro [10,10] dan similitud 1: misma dirección, aunque uno sea diez veces "más grande". Eso es justo lo que importa al comparar palabras: el patrón de contextos, no cuántas veces en total aparece cada una.</t>
  </si>
  <si>
    <t>Matriz de similitud (coseno) — 1 = idénticos, 0 = nada en común</t>
  </si>
  <si>
    <t>Ojo con valor abosluto sobre un valor vs vector</t>
  </si>
  <si>
    <t>#</t>
  </si>
  <si>
    <t>Oración</t>
  </si>
  <si>
    <t>El perro es una mascota muy fiel.</t>
  </si>
  <si>
    <t>El gato es una mascota independiente.</t>
  </si>
  <si>
    <t>El conejo es una mascota tranquila.</t>
  </si>
  <si>
    <t>Llevamos al perro al veterinario.</t>
  </si>
  <si>
    <t>Llevamos al gato al veterinario.</t>
  </si>
  <si>
    <t>Llevamos al conejo al veterinario.</t>
  </si>
  <si>
    <t>El perro vive en mi casa.</t>
  </si>
  <si>
    <t>El gato vive en mi casa.</t>
  </si>
  <si>
    <t>El conejo vive en una jaula en el patio.</t>
  </si>
  <si>
    <t>Le compré comida especial al perro.</t>
  </si>
  <si>
    <t>Le compré comida especial al gato.</t>
  </si>
  <si>
    <t>Le compré comida especial al conejo.</t>
  </si>
  <si>
    <t>El perro ladra cuando llega una visita.</t>
  </si>
  <si>
    <t>El gato maúlla cuando tiene hambre.</t>
  </si>
  <si>
    <t>El conejo es un animal muy silencioso.</t>
  </si>
  <si>
    <t>Saco a pasear al perro con correa todos los días.</t>
  </si>
  <si>
    <t>El gato se trepa a los muebles y araña el sofá.</t>
  </si>
  <si>
    <t>El conejo salta dentro de su jaula.</t>
  </si>
  <si>
    <t>Mi perro mueve la cola cuando me ve llegar.</t>
  </si>
  <si>
    <t>Mi gato ronronea cuando lo acaricio.</t>
  </si>
  <si>
    <t>Mi conejo come zanahoria todas las tardes.</t>
  </si>
  <si>
    <t>El perro y el gato duermen juntos en el sillón.</t>
  </si>
  <si>
    <t>El conejo tiene las orejas muy largas.</t>
  </si>
  <si>
    <t>Tanto el perro como el gato y el conejo necesitan agua fresca todos los días.</t>
  </si>
  <si>
    <t>El auto necesita gasolina para funcionar.</t>
  </si>
  <si>
    <t>Guardo el auto en la casa.</t>
  </si>
  <si>
    <t>Mi papá maneja el auto todos los días.</t>
  </si>
  <si>
    <t>El auto tiene cuatro ruedas nuevas.</t>
  </si>
  <si>
    <t>El motor del auto falló esta mañana.</t>
  </si>
  <si>
    <t>Estaciono el auto en el garaje todas las noches.</t>
  </si>
  <si>
    <t>mascota</t>
  </si>
  <si>
    <t>veterinario</t>
  </si>
  <si>
    <t>comida</t>
  </si>
  <si>
    <t>agua</t>
  </si>
  <si>
    <t>casa</t>
  </si>
  <si>
    <t>ladra</t>
  </si>
  <si>
    <t>correa</t>
  </si>
  <si>
    <t>cola</t>
  </si>
  <si>
    <t>maúlla</t>
  </si>
  <si>
    <t>araña</t>
  </si>
  <si>
    <t>ronronea</t>
  </si>
  <si>
    <t>jaula</t>
  </si>
  <si>
    <t>salta</t>
  </si>
  <si>
    <t>zanahoria</t>
  </si>
  <si>
    <t>orejas</t>
  </si>
  <si>
    <t>gasolina</t>
  </si>
  <si>
    <t>maneja</t>
  </si>
  <si>
    <t>ruedas</t>
  </si>
  <si>
    <t>motor</t>
  </si>
  <si>
    <t>garaje</t>
  </si>
  <si>
    <t>Misma fórmula que en la Hoja 1: similitud(A, B) = (A · B) / (|A| × |B|) — revisa esa hoja para la explicación completa de cada parte.</t>
  </si>
  <si>
    <t>Matriz de similitud (coseno), calculada desde el corpus</t>
  </si>
  <si>
    <t>Compara esto con la Hoja 1: acá "auto" sale prácticamente sin relación con los tres animales (similitud ~0,14 con perro y gato, 0,00 con conejo) — justo lo que esperaríamos. La coocurrencia no se deja engañar por coincidencias accidentales, a diferencia de los rasgos elegidos a mano.</t>
  </si>
  <si>
    <t>Qué se podría mejorar de este modelo de juguete</t>
  </si>
  <si>
    <t>Este Excel sirve para construir la intuición, pero no es un modelo de embeddings real. Esta tabla resume, punto por punto, qué se simplificó acá y cómo lo resuelven los modelos de verdad — los mismos que usan ChatGPT, Gemini y Claude.</t>
  </si>
  <si>
    <t>Limitación de este Excel</t>
  </si>
  <si>
    <t>Cómo lo resuelven los modelos reales</t>
  </si>
  <si>
    <t>Solo 6 a 20 dimensiones, elegidas o contadas a mano.</t>
  </si>
  <si>
    <t>Cientos o miles de dimensiones, ajustadas automáticamente durante el entrenamiento — nadie las elige a mano.</t>
  </si>
  <si>
    <t>Un corpus de apenas 30 oraciones.</t>
  </si>
  <si>
    <t>Se entrenan con miles de millones de oraciones: toda la web, libros, código, etc.</t>
  </si>
  <si>
    <t>Cuenta solo si dos palabras aparecen en la misma oración (todo o nada).</t>
  </si>
  <si>
    <t>Usan una ventana de palabras cercanas y aprenden los pesos con una red neuronal, en vez de solo contar coincidencias.</t>
  </si>
  <si>
    <t>Una palabra muy frecuente (como "agua") pesa igual que una muy distintiva (como "zanahoria").</t>
  </si>
  <si>
    <t>Técnicas como TF-IDF, o el propio entrenamiento, bajan el peso de palabras genéricas y suben el de las que realmente ayudan a distinguir el significado.</t>
  </si>
  <si>
    <t>Cada palabra tiene un único vector fijo, sin importar la oración.</t>
  </si>
  <si>
    <t>Un Transformer genera un vector distinto para la misma palabra según el contexto (gracias a la atención): "banco" en una oración financiera y "banco" como asiento de plaza terminan con vectores distintos.</t>
  </si>
  <si>
    <t>El "entrenamiento" es contar una sola vez, sin ajuste posterior.</t>
  </si>
  <si>
    <t>Los vectores se ajustan millones de veces con descenso de gradiente, optimizando qué tan bien predicen el contexto real.</t>
  </si>
  <si>
    <r>
      <rPr>
        <b/>
        <sz val="14"/>
        <color rgb="FFC00000"/>
        <rFont val="Calibri Light"/>
        <family val="2"/>
      </rPr>
      <t>Opcion B |</t>
    </r>
    <r>
      <rPr>
        <b/>
        <sz val="14"/>
        <rFont val="Calibri Light"/>
        <family val="2"/>
      </rPr>
      <t xml:space="preserve"> El vector de cada palabra = cuántas veces aparece junto a cada palabra de contexto</t>
    </r>
  </si>
  <si>
    <r>
      <rPr>
        <b/>
        <sz val="14"/>
        <color rgb="FFC00000"/>
        <rFont val="Calibri Light"/>
        <family val="2"/>
      </rPr>
      <t>Corpus:</t>
    </r>
    <r>
      <rPr>
        <b/>
        <sz val="14"/>
        <rFont val="Calibri Light"/>
        <family val="2"/>
      </rPr>
      <t xml:space="preserve"> oraciones de ejemplo (hacen de "datos de entrenamiento")</t>
    </r>
  </si>
  <si>
    <r>
      <rPr>
        <b/>
        <sz val="14"/>
        <color rgb="FFC00000"/>
        <rFont val="Calibri Light"/>
        <family val="2"/>
      </rPr>
      <t>Opción A |</t>
    </r>
    <r>
      <rPr>
        <b/>
        <sz val="14"/>
        <color rgb="FFFF0000"/>
        <rFont val="Calibri Light"/>
        <family val="2"/>
      </rPr>
      <t xml:space="preserve"> </t>
    </r>
    <r>
      <rPr>
        <b/>
        <sz val="14"/>
        <rFont val="Calibri Light"/>
        <family val="2"/>
      </rPr>
      <t>Rasgos elegidos a mano (rápido, pero subjetivo)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</si>
</sst>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sz val="11"/>
      <color rgb="FF000000"/>
      <name val="Arial"/>
      <family val="2"/>
      <charset val="1"/>
    </font>
    <font>
      <i/>
      <sz val="10"/>
      <color rgb="FF6B6452"/>
      <name val="Arial"/>
      <family val="2"/>
      <charset val="1"/>
    </font>
    <font>
      <b/>
      <sz val="11"/>
      <color rgb="FFFFFFFF"/>
      <name val="Arial"/>
      <family val="2"/>
      <charset val="1"/>
    </font>
    <font>
      <b/>
      <sz val="14"/>
      <name val="Calibri Light"/>
      <family val="2"/>
    </font>
    <font>
      <sz val="11"/>
      <color theme="1"/>
      <name val="Calibri Light"/>
      <family val="2"/>
    </font>
    <font>
      <sz val="11"/>
      <color rgb="FF000000"/>
      <name val="Calibri Light"/>
      <family val="2"/>
    </font>
    <font>
      <b/>
      <sz val="11"/>
      <name val="Calibri Light"/>
      <family val="2"/>
    </font>
    <font>
      <i/>
      <sz val="10"/>
      <color rgb="FF6B6452"/>
      <name val="Calibri Light"/>
      <family val="2"/>
    </font>
    <font>
      <b/>
      <sz val="11"/>
      <color rgb="FFFFFFFF"/>
      <name val="Calibri Light"/>
      <family val="2"/>
    </font>
    <font>
      <sz val="14"/>
      <color theme="1"/>
      <name val="Calibri Light"/>
      <family val="2"/>
    </font>
    <font>
      <b/>
      <sz val="14"/>
      <color rgb="FFFFFFFF"/>
      <name val="Calibri Light"/>
      <family val="2"/>
    </font>
    <font>
      <sz val="14"/>
      <color rgb="FF000000"/>
      <name val="Calibri Light"/>
      <family val="2"/>
    </font>
    <font>
      <i/>
      <sz val="14"/>
      <color rgb="FF6B6452"/>
      <name val="Calibri Light"/>
      <family val="2"/>
    </font>
    <font>
      <b/>
      <sz val="14"/>
      <color theme="3"/>
      <name val="Calibri Light"/>
      <family val="2"/>
    </font>
    <font>
      <sz val="14"/>
      <color theme="3"/>
      <name val="Calibri Light"/>
      <family val="2"/>
    </font>
    <font>
      <b/>
      <sz val="14"/>
      <color rgb="FFFF0000"/>
      <name val="Calibri Light"/>
      <family val="2"/>
    </font>
    <font>
      <b/>
      <sz val="14"/>
      <color theme="1"/>
      <name val="Calibri Light"/>
      <family val="2"/>
    </font>
    <font>
      <b/>
      <sz val="14"/>
      <color rgb="FFC00000"/>
      <name val="Calibri Light"/>
      <family val="2"/>
    </font>
    <font>
      <b/>
      <sz val="11"/>
      <color theme="1"/>
      <name val="Calibri Light"/>
      <family val="2"/>
    </font>
    <font>
      <b/>
      <sz val="13"/>
      <color theme="1"/>
      <name val="Calibri Light"/>
      <family val="2"/>
    </font>
  </fonts>
  <fills count="5">
    <fill>
      <patternFill patternType="none"/>
    </fill>
    <fill>
      <patternFill patternType="gray125"/>
    </fill>
    <fill>
      <patternFill patternType="solid">
        <fgColor rgb="FFF4EFE3"/>
        <bgColor rgb="FFFFF2CC"/>
      </patternFill>
    </fill>
    <fill>
      <patternFill patternType="solid">
        <fgColor rgb="FF002060"/>
        <bgColor rgb="FF2E75B6"/>
      </patternFill>
    </fill>
    <fill>
      <patternFill patternType="solid">
        <fgColor rgb="FF002060"/>
        <bgColor indexed="64"/>
      </patternFill>
    </fill>
  </fills>
  <borders count="2">
    <border>
      <left/>
      <right/>
      <top/>
      <bottom/>
      <diagonal/>
    </border>
    <border>
      <left style="thin">
        <color rgb="FFD6C9A0"/>
      </left>
      <right style="thin">
        <color rgb="FFD6C9A0"/>
      </right>
      <top style="thin">
        <color rgb="FFD6C9A0"/>
      </top>
      <bottom style="thin">
        <color rgb="FFD6C9A0"/>
      </bottom>
      <diagonal/>
    </border>
  </borders>
  <cellStyleXfs count="1">
    <xf numFmtId="0" fontId="0" fillId="0" borderId="0"/>
  </cellStyleXfs>
  <cellXfs count="36">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2" fillId="0" borderId="0" xfId="0" applyFont="1" applyAlignment="1">
      <alignment vertical="top"/>
    </xf>
    <xf numFmtId="0" fontId="4" fillId="0" borderId="0" xfId="0" applyFont="1"/>
    <xf numFmtId="0" fontId="5" fillId="0" borderId="0" xfId="0" applyFont="1"/>
    <xf numFmtId="0" fontId="6" fillId="0" borderId="0" xfId="0" applyFont="1" applyAlignment="1">
      <alignment vertical="top" wrapText="1"/>
    </xf>
    <xf numFmtId="0" fontId="7" fillId="0" borderId="0" xfId="0" applyFont="1"/>
    <xf numFmtId="0" fontId="8" fillId="0" borderId="0" xfId="0" applyFont="1" applyAlignment="1">
      <alignment vertical="top" wrapText="1"/>
    </xf>
    <xf numFmtId="0" fontId="10" fillId="0" borderId="0" xfId="0" applyFont="1"/>
    <xf numFmtId="0" fontId="13" fillId="0" borderId="0" xfId="0" applyFont="1" applyAlignment="1">
      <alignment vertical="top" wrapText="1"/>
    </xf>
    <xf numFmtId="0" fontId="14" fillId="0" borderId="0" xfId="0" applyFont="1"/>
    <xf numFmtId="0" fontId="15" fillId="0" borderId="0" xfId="0" applyFont="1"/>
    <xf numFmtId="0" fontId="4" fillId="0" borderId="0" xfId="0" applyFont="1" applyAlignment="1">
      <alignment horizontal="left" vertical="center"/>
    </xf>
    <xf numFmtId="0" fontId="10" fillId="0" borderId="0" xfId="0" applyFont="1" applyAlignment="1">
      <alignment horizontal="left" vertical="center"/>
    </xf>
    <xf numFmtId="0" fontId="6" fillId="0" borderId="1" xfId="0" applyFont="1" applyBorder="1" applyAlignment="1">
      <alignment horizontal="center"/>
    </xf>
    <xf numFmtId="0" fontId="6" fillId="0" borderId="1" xfId="0" applyFont="1" applyBorder="1"/>
    <xf numFmtId="0" fontId="9"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7" fillId="2" borderId="1" xfId="0" applyFont="1" applyFill="1" applyBorder="1"/>
    <xf numFmtId="0" fontId="10" fillId="0" borderId="1" xfId="0" applyFont="1" applyBorder="1" applyAlignment="1">
      <alignment horizontal="center"/>
    </xf>
    <xf numFmtId="0" fontId="10" fillId="4" borderId="1" xfId="0" applyFont="1" applyFill="1" applyBorder="1" applyAlignment="1">
      <alignment horizontal="center" vertical="center"/>
    </xf>
    <xf numFmtId="0" fontId="11" fillId="3" borderId="1" xfId="0" applyFont="1" applyFill="1" applyBorder="1" applyAlignment="1">
      <alignment horizontal="center" vertical="center"/>
    </xf>
    <xf numFmtId="2" fontId="10" fillId="0" borderId="1" xfId="0" applyNumberFormat="1" applyFont="1" applyBorder="1" applyAlignment="1">
      <alignment horizontal="center"/>
    </xf>
    <xf numFmtId="0" fontId="17" fillId="0" borderId="0" xfId="0" applyFont="1"/>
    <xf numFmtId="0" fontId="3"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2" fontId="6" fillId="0" borderId="1" xfId="0" applyNumberFormat="1" applyFont="1" applyBorder="1" applyAlignment="1">
      <alignment vertical="center"/>
    </xf>
    <xf numFmtId="1" fontId="5" fillId="0" borderId="1" xfId="0" applyNumberFormat="1" applyFont="1" applyBorder="1" applyAlignment="1">
      <alignment horizontal="center" vertical="center"/>
    </xf>
    <xf numFmtId="0" fontId="20" fillId="0" borderId="0" xfId="0" applyFont="1" applyAlignment="1">
      <alignment vertical="center"/>
    </xf>
    <xf numFmtId="0" fontId="5" fillId="4" borderId="1" xfId="0" applyFont="1" applyFill="1" applyBorder="1" applyAlignment="1">
      <alignment horizontal="center" vertical="center"/>
    </xf>
    <xf numFmtId="0" fontId="19" fillId="0" borderId="1" xfId="0" applyFont="1" applyBorder="1" applyAlignment="1">
      <alignment horizontal="center" vertical="center"/>
    </xf>
    <xf numFmtId="0" fontId="12"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4EFE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6C9A0"/>
      <rgbColor rgb="FF2E75B6"/>
      <rgbColor rgb="FF33CCCC"/>
      <rgbColor rgb="FF99CC00"/>
      <rgbColor rgb="FFFFCC00"/>
      <rgbColor rgb="FFFF9900"/>
      <rgbColor rgb="FFED7D31"/>
      <rgbColor rgb="FF6B6452"/>
      <rgbColor rgb="FFB3B3B3"/>
      <rgbColor rgb="FF003366"/>
      <rgbColor rgb="FF3E7C6F"/>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190440</xdr:colOff>
      <xdr:row>22</xdr:row>
      <xdr:rowOff>18360</xdr:rowOff>
    </xdr:from>
    <xdr:to>
      <xdr:col>4</xdr:col>
      <xdr:colOff>560160</xdr:colOff>
      <xdr:row>37</xdr:row>
      <xdr:rowOff>217431</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90440" y="5085720"/>
          <a:ext cx="7230240" cy="38728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tabSelected="1" zoomScale="150" zoomScaleNormal="150" workbookViewId="0">
      <pane ySplit="1" topLeftCell="A2" activePane="bottomLeft" state="frozen"/>
      <selection pane="bottomLeft" activeCell="D6" sqref="D6"/>
    </sheetView>
  </sheetViews>
  <sheetFormatPr baseColWidth="10" defaultColWidth="8.6640625" defaultRowHeight="15" x14ac:dyDescent="0.2"/>
  <cols>
    <col min="1" max="1" width="100" style="5" customWidth="1"/>
    <col min="2" max="16384" width="8.6640625" style="5"/>
  </cols>
  <sheetData>
    <row r="1" spans="1:3" s="9" customFormat="1" ht="40" customHeight="1" x14ac:dyDescent="0.25">
      <c r="A1" s="13" t="s">
        <v>0</v>
      </c>
      <c r="B1" s="14"/>
      <c r="C1" s="14"/>
    </row>
    <row r="3" spans="1:3" ht="54.75" customHeight="1" x14ac:dyDescent="0.2">
      <c r="A3" s="6" t="s">
        <v>1</v>
      </c>
    </row>
    <row r="5" spans="1:3" x14ac:dyDescent="0.2">
      <c r="A5" s="7" t="s">
        <v>2</v>
      </c>
    </row>
    <row r="6" spans="1:3" ht="39.75" customHeight="1" x14ac:dyDescent="0.2">
      <c r="A6" s="6" t="s">
        <v>3</v>
      </c>
    </row>
    <row r="8" spans="1:3" x14ac:dyDescent="0.2">
      <c r="A8" s="7" t="s">
        <v>4</v>
      </c>
    </row>
    <row r="9" spans="1:3" ht="39.75" customHeight="1" x14ac:dyDescent="0.2">
      <c r="A9" s="6" t="s">
        <v>5</v>
      </c>
    </row>
    <row r="11" spans="1:3" x14ac:dyDescent="0.2">
      <c r="A11" s="7" t="s">
        <v>6</v>
      </c>
    </row>
    <row r="12" spans="1:3" ht="39.75" customHeight="1" x14ac:dyDescent="0.2">
      <c r="A12" s="6" t="s">
        <v>7</v>
      </c>
    </row>
    <row r="14" spans="1:3" x14ac:dyDescent="0.2">
      <c r="A14" s="7" t="s">
        <v>8</v>
      </c>
    </row>
    <row r="15" spans="1:3" ht="39.75" customHeight="1" x14ac:dyDescent="0.2">
      <c r="A15" s="6" t="s">
        <v>9</v>
      </c>
    </row>
    <row r="17" spans="1:1" ht="39.75" customHeight="1" x14ac:dyDescent="0.2">
      <c r="A17" s="8"/>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showGridLines="0" zoomScale="140" zoomScaleNormal="140" workbookViewId="0">
      <pane ySplit="1" topLeftCell="A2" activePane="bottomLeft" state="frozen"/>
      <selection pane="bottomLeft" sqref="A1:XFD1"/>
    </sheetView>
  </sheetViews>
  <sheetFormatPr baseColWidth="10" defaultColWidth="24.33203125" defaultRowHeight="19" x14ac:dyDescent="0.25"/>
  <cols>
    <col min="1" max="16384" width="24.33203125" style="9"/>
  </cols>
  <sheetData>
    <row r="1" spans="1:7" ht="40" customHeight="1" x14ac:dyDescent="0.25">
      <c r="A1" s="13" t="s">
        <v>100</v>
      </c>
      <c r="B1" s="14"/>
      <c r="C1" s="14"/>
    </row>
    <row r="3" spans="1:7" ht="30" customHeight="1" x14ac:dyDescent="0.25">
      <c r="A3" s="18" t="s">
        <v>10</v>
      </c>
      <c r="B3" s="18" t="s">
        <v>11</v>
      </c>
      <c r="C3" s="18" t="s">
        <v>12</v>
      </c>
      <c r="D3" s="18" t="s">
        <v>13</v>
      </c>
      <c r="E3" s="18" t="s">
        <v>14</v>
      </c>
      <c r="F3" s="18" t="s">
        <v>15</v>
      </c>
      <c r="G3" s="18" t="s">
        <v>16</v>
      </c>
    </row>
    <row r="4" spans="1:7" x14ac:dyDescent="0.25">
      <c r="A4" s="19" t="s">
        <v>17</v>
      </c>
      <c r="B4" s="20">
        <v>7</v>
      </c>
      <c r="C4" s="20">
        <v>8</v>
      </c>
      <c r="D4" s="20">
        <v>9</v>
      </c>
      <c r="E4" s="20">
        <v>1</v>
      </c>
      <c r="F4" s="20">
        <v>3</v>
      </c>
      <c r="G4" s="20">
        <v>9</v>
      </c>
    </row>
    <row r="5" spans="1:7" x14ac:dyDescent="0.25">
      <c r="A5" s="19" t="s">
        <v>18</v>
      </c>
      <c r="B5" s="20">
        <v>4</v>
      </c>
      <c r="C5" s="20">
        <v>4</v>
      </c>
      <c r="D5" s="20">
        <v>2</v>
      </c>
      <c r="E5" s="20">
        <v>1</v>
      </c>
      <c r="F5" s="20">
        <v>8</v>
      </c>
      <c r="G5" s="20">
        <v>5</v>
      </c>
    </row>
    <row r="6" spans="1:7" x14ac:dyDescent="0.25">
      <c r="A6" s="19" t="s">
        <v>19</v>
      </c>
      <c r="B6" s="20">
        <v>3</v>
      </c>
      <c r="C6" s="20">
        <v>1</v>
      </c>
      <c r="D6" s="20">
        <v>2</v>
      </c>
      <c r="E6" s="20">
        <v>8</v>
      </c>
      <c r="F6" s="20">
        <v>5</v>
      </c>
      <c r="G6" s="20">
        <v>6</v>
      </c>
    </row>
    <row r="7" spans="1:7" x14ac:dyDescent="0.25">
      <c r="A7" s="19" t="s">
        <v>20</v>
      </c>
      <c r="B7" s="20">
        <v>10</v>
      </c>
      <c r="C7" s="20">
        <v>10</v>
      </c>
      <c r="D7" s="20">
        <v>0</v>
      </c>
      <c r="E7" s="20">
        <v>0</v>
      </c>
      <c r="F7" s="20">
        <v>0</v>
      </c>
      <c r="G7" s="20">
        <v>0</v>
      </c>
    </row>
    <row r="10" spans="1:7" x14ac:dyDescent="0.25">
      <c r="A10" s="4" t="s">
        <v>21</v>
      </c>
    </row>
    <row r="11" spans="1:7" ht="16.5" customHeight="1" x14ac:dyDescent="0.25">
      <c r="A11" s="24" t="s">
        <v>22</v>
      </c>
    </row>
    <row r="12" spans="1:7" ht="62" customHeight="1" x14ac:dyDescent="0.25">
      <c r="A12" s="35" t="s">
        <v>23</v>
      </c>
      <c r="B12" s="35"/>
      <c r="C12" s="35"/>
      <c r="D12" s="35"/>
      <c r="E12" s="35"/>
      <c r="F12" s="35"/>
      <c r="G12" s="35"/>
    </row>
    <row r="13" spans="1:7" ht="43" customHeight="1" x14ac:dyDescent="0.25">
      <c r="A13" s="35" t="s">
        <v>24</v>
      </c>
      <c r="B13" s="35"/>
      <c r="C13" s="35"/>
      <c r="D13" s="35"/>
      <c r="E13" s="35"/>
      <c r="F13" s="35"/>
      <c r="G13" s="35"/>
    </row>
    <row r="15" spans="1:7" x14ac:dyDescent="0.25">
      <c r="A15" s="4" t="s">
        <v>25</v>
      </c>
    </row>
    <row r="16" spans="1:7" x14ac:dyDescent="0.25">
      <c r="A16" s="21"/>
      <c r="B16" s="22" t="s">
        <v>17</v>
      </c>
      <c r="C16" s="22" t="s">
        <v>18</v>
      </c>
      <c r="D16" s="22" t="s">
        <v>19</v>
      </c>
      <c r="E16" s="22" t="s">
        <v>20</v>
      </c>
    </row>
    <row r="17" spans="1:5" x14ac:dyDescent="0.25">
      <c r="A17" s="19" t="s">
        <v>17</v>
      </c>
      <c r="B17" s="23">
        <f>SUMPRODUCT($B$4:$G$4,$B$4:$G$4)/(SQRT(SUMSQ($B$4:$G$4))*SQRT(SUMSQ($B$4:$G$4)))</f>
        <v>0.99999999999999978</v>
      </c>
      <c r="C17" s="23">
        <f>SUMPRODUCT($B$4:$G$4,$B$5:$G$5)/(SQRT(SUMSQ($B$4:$G$4))*SQRT(SUMSQ($B$5:$G$5)))</f>
        <v>0.78100535712894092</v>
      </c>
      <c r="D17" s="23">
        <f>SUMPRODUCT($B$4:$G$4,$B$6:$G$6)/(SQRT(SUMSQ($B$4:$G$4))*SQRT(SUMSQ($B$6:$G$6)))</f>
        <v>0.62300546317328442</v>
      </c>
      <c r="E17" s="23">
        <f>SUMPRODUCT($B$4:$G$4,$B$7:$G$7)/(SQRT(SUMSQ($B$4:$G$4))*SQRT(SUMSQ($B$7:$G$7)))</f>
        <v>0.62828086243754322</v>
      </c>
    </row>
    <row r="18" spans="1:5" x14ac:dyDescent="0.25">
      <c r="A18" s="19" t="s">
        <v>18</v>
      </c>
      <c r="B18" s="23">
        <f>SUMPRODUCT($B$5:$G$5,$B$4:$G$4)/(SQRT(SUMSQ($B$5:$G$5))*SQRT(SUMSQ($B$4:$G$4)))</f>
        <v>0.78100535712894092</v>
      </c>
      <c r="C18" s="23">
        <f>SUMPRODUCT($B$5:$G$5,$B$5:$G$5)/(SQRT(SUMSQ($B$5:$G$5))*SQRT(SUMSQ($B$5:$G$5)))</f>
        <v>1</v>
      </c>
      <c r="D18" s="23">
        <f>SUMPRODUCT($B$5:$G$5,$B$6:$G$6)/(SQRT(SUMSQ($B$5:$G$5))*SQRT(SUMSQ($B$6:$G$6)))</f>
        <v>0.74051422062728756</v>
      </c>
      <c r="E18" s="23">
        <f>SUMPRODUCT($B$5:$G$5,$B$7:$G$7)/(SQRT(SUMSQ($B$5:$G$5))*SQRT(SUMSQ($B$7:$G$7)))</f>
        <v>0.50395263067896967</v>
      </c>
    </row>
    <row r="19" spans="1:5" x14ac:dyDescent="0.25">
      <c r="A19" s="19" t="s">
        <v>19</v>
      </c>
      <c r="B19" s="23">
        <f>SUMPRODUCT($B$6:$G$6,$B$4:$G$4)/(SQRT(SUMSQ($B$6:$G$6))*SQRT(SUMSQ($B$4:$G$4)))</f>
        <v>0.62300546317328442</v>
      </c>
      <c r="C19" s="23">
        <f>SUMPRODUCT($B$6:$G$6,$B$5:$G$5)/(SQRT(SUMSQ($B$6:$G$6))*SQRT(SUMSQ($B$5:$G$5)))</f>
        <v>0.74051422062728756</v>
      </c>
      <c r="D19" s="23">
        <f>SUMPRODUCT($B$6:$G$6,$B$6:$G$6)/(SQRT(SUMSQ($B$6:$G$6))*SQRT(SUMSQ($B$6:$G$6)))</f>
        <v>1.0000000000000002</v>
      </c>
      <c r="E19" s="23">
        <f>SUMPRODUCT($B$6:$G$6,$B$7:$G$7)/(SQRT(SUMSQ($B$6:$G$6))*SQRT(SUMSQ($B$7:$G$7)))</f>
        <v>0.23990405756162689</v>
      </c>
    </row>
    <row r="20" spans="1:5" x14ac:dyDescent="0.25">
      <c r="A20" s="19" t="s">
        <v>20</v>
      </c>
      <c r="B20" s="23">
        <f>SUMPRODUCT($B$7:$G$7,$B$4:$G$4)/(SQRT(SUMSQ($B$7:$G$7))*SQRT(SUMSQ($B$4:$G$4)))</f>
        <v>0.62828086243754322</v>
      </c>
      <c r="C20" s="23">
        <f>SUMPRODUCT($B$7:$G$7,$B$5:$G$5)/(SQRT(SUMSQ($B$7:$G$7))*SQRT(SUMSQ($B$5:$G$5)))</f>
        <v>0.50395263067896967</v>
      </c>
      <c r="D20" s="23">
        <f>SUMPRODUCT($B$7:$G$7,$B$6:$G$6)/(SQRT(SUMSQ($B$7:$G$7))*SQRT(SUMSQ($B$6:$G$6)))</f>
        <v>0.23990405756162689</v>
      </c>
      <c r="E20" s="23">
        <f>SUMPRODUCT($B$7:$G$7,$B$7:$G$7)/(SQRT(SUMSQ($B$7:$G$7))*SQRT(SUMSQ($B$7:$G$7)))</f>
        <v>0.99999999999999989</v>
      </c>
    </row>
    <row r="21" spans="1:5" x14ac:dyDescent="0.25">
      <c r="A21" s="10"/>
    </row>
    <row r="22" spans="1:5" x14ac:dyDescent="0.25">
      <c r="A22" s="11" t="s">
        <v>26</v>
      </c>
      <c r="B22" s="12"/>
    </row>
  </sheetData>
  <mergeCells count="2">
    <mergeCell ref="A12:G12"/>
    <mergeCell ref="A13:G13"/>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
  <sheetViews>
    <sheetView showGridLines="0" zoomScale="150" zoomScaleNormal="150" workbookViewId="0">
      <pane ySplit="1" topLeftCell="A2" activePane="bottomLeft" state="frozen"/>
      <selection pane="bottomLeft" activeCell="F10" sqref="F10"/>
    </sheetView>
  </sheetViews>
  <sheetFormatPr baseColWidth="10" defaultColWidth="8.6640625" defaultRowHeight="15" x14ac:dyDescent="0.2"/>
  <cols>
    <col min="1" max="1" width="6" style="5" customWidth="1"/>
    <col min="2" max="2" width="70" style="5" customWidth="1"/>
    <col min="3" max="16384" width="8.6640625" style="5"/>
  </cols>
  <sheetData>
    <row r="1" spans="1:3" s="9" customFormat="1" ht="40" customHeight="1" x14ac:dyDescent="0.25">
      <c r="A1" s="13" t="s">
        <v>99</v>
      </c>
      <c r="B1" s="14"/>
      <c r="C1" s="14"/>
    </row>
    <row r="3" spans="1:3" x14ac:dyDescent="0.2">
      <c r="A3" s="17" t="s">
        <v>27</v>
      </c>
      <c r="B3" s="17" t="s">
        <v>28</v>
      </c>
    </row>
    <row r="4" spans="1:3" x14ac:dyDescent="0.2">
      <c r="A4" s="15">
        <v>1</v>
      </c>
      <c r="B4" s="16" t="s">
        <v>29</v>
      </c>
    </row>
    <row r="5" spans="1:3" x14ac:dyDescent="0.2">
      <c r="A5" s="15">
        <v>2</v>
      </c>
      <c r="B5" s="16" t="s">
        <v>30</v>
      </c>
    </row>
    <row r="6" spans="1:3" x14ac:dyDescent="0.2">
      <c r="A6" s="15">
        <v>3</v>
      </c>
      <c r="B6" s="16" t="s">
        <v>31</v>
      </c>
    </row>
    <row r="7" spans="1:3" x14ac:dyDescent="0.2">
      <c r="A7" s="15">
        <v>4</v>
      </c>
      <c r="B7" s="16" t="s">
        <v>32</v>
      </c>
    </row>
    <row r="8" spans="1:3" x14ac:dyDescent="0.2">
      <c r="A8" s="15">
        <v>5</v>
      </c>
      <c r="B8" s="16" t="s">
        <v>33</v>
      </c>
    </row>
    <row r="9" spans="1:3" x14ac:dyDescent="0.2">
      <c r="A9" s="15">
        <v>6</v>
      </c>
      <c r="B9" s="16" t="s">
        <v>34</v>
      </c>
    </row>
    <row r="10" spans="1:3" x14ac:dyDescent="0.2">
      <c r="A10" s="15">
        <v>7</v>
      </c>
      <c r="B10" s="16" t="s">
        <v>35</v>
      </c>
    </row>
    <row r="11" spans="1:3" x14ac:dyDescent="0.2">
      <c r="A11" s="15">
        <v>8</v>
      </c>
      <c r="B11" s="16" t="s">
        <v>36</v>
      </c>
    </row>
    <row r="12" spans="1:3" x14ac:dyDescent="0.2">
      <c r="A12" s="15">
        <v>9</v>
      </c>
      <c r="B12" s="16" t="s">
        <v>37</v>
      </c>
    </row>
    <row r="13" spans="1:3" x14ac:dyDescent="0.2">
      <c r="A13" s="15">
        <v>10</v>
      </c>
      <c r="B13" s="16" t="s">
        <v>38</v>
      </c>
    </row>
    <row r="14" spans="1:3" x14ac:dyDescent="0.2">
      <c r="A14" s="15">
        <v>11</v>
      </c>
      <c r="B14" s="16" t="s">
        <v>39</v>
      </c>
    </row>
    <row r="15" spans="1:3" x14ac:dyDescent="0.2">
      <c r="A15" s="15">
        <v>12</v>
      </c>
      <c r="B15" s="16" t="s">
        <v>40</v>
      </c>
    </row>
    <row r="16" spans="1:3" x14ac:dyDescent="0.2">
      <c r="A16" s="15">
        <v>13</v>
      </c>
      <c r="B16" s="16" t="s">
        <v>41</v>
      </c>
    </row>
    <row r="17" spans="1:2" x14ac:dyDescent="0.2">
      <c r="A17" s="15">
        <v>14</v>
      </c>
      <c r="B17" s="16" t="s">
        <v>42</v>
      </c>
    </row>
    <row r="18" spans="1:2" x14ac:dyDescent="0.2">
      <c r="A18" s="15">
        <v>15</v>
      </c>
      <c r="B18" s="16" t="s">
        <v>43</v>
      </c>
    </row>
    <row r="19" spans="1:2" x14ac:dyDescent="0.2">
      <c r="A19" s="15">
        <v>16</v>
      </c>
      <c r="B19" s="16" t="s">
        <v>44</v>
      </c>
    </row>
    <row r="20" spans="1:2" x14ac:dyDescent="0.2">
      <c r="A20" s="15">
        <v>17</v>
      </c>
      <c r="B20" s="16" t="s">
        <v>45</v>
      </c>
    </row>
    <row r="21" spans="1:2" x14ac:dyDescent="0.2">
      <c r="A21" s="15">
        <v>18</v>
      </c>
      <c r="B21" s="16" t="s">
        <v>46</v>
      </c>
    </row>
    <row r="22" spans="1:2" x14ac:dyDescent="0.2">
      <c r="A22" s="15">
        <v>19</v>
      </c>
      <c r="B22" s="16" t="s">
        <v>47</v>
      </c>
    </row>
    <row r="23" spans="1:2" x14ac:dyDescent="0.2">
      <c r="A23" s="15">
        <v>20</v>
      </c>
      <c r="B23" s="16" t="s">
        <v>48</v>
      </c>
    </row>
    <row r="24" spans="1:2" x14ac:dyDescent="0.2">
      <c r="A24" s="15">
        <v>21</v>
      </c>
      <c r="B24" s="16" t="s">
        <v>49</v>
      </c>
    </row>
    <row r="25" spans="1:2" x14ac:dyDescent="0.2">
      <c r="A25" s="15">
        <v>22</v>
      </c>
      <c r="B25" s="16" t="s">
        <v>50</v>
      </c>
    </row>
    <row r="26" spans="1:2" x14ac:dyDescent="0.2">
      <c r="A26" s="15">
        <v>23</v>
      </c>
      <c r="B26" s="16" t="s">
        <v>51</v>
      </c>
    </row>
    <row r="27" spans="1:2" x14ac:dyDescent="0.2">
      <c r="A27" s="15">
        <v>24</v>
      </c>
      <c r="B27" s="16" t="s">
        <v>52</v>
      </c>
    </row>
    <row r="28" spans="1:2" x14ac:dyDescent="0.2">
      <c r="A28" s="15">
        <v>25</v>
      </c>
      <c r="B28" s="16" t="s">
        <v>53</v>
      </c>
    </row>
    <row r="29" spans="1:2" x14ac:dyDescent="0.2">
      <c r="A29" s="15">
        <v>26</v>
      </c>
      <c r="B29" s="16" t="s">
        <v>54</v>
      </c>
    </row>
    <row r="30" spans="1:2" x14ac:dyDescent="0.2">
      <c r="A30" s="15">
        <v>27</v>
      </c>
      <c r="B30" s="16" t="s">
        <v>55</v>
      </c>
    </row>
    <row r="31" spans="1:2" x14ac:dyDescent="0.2">
      <c r="A31" s="15">
        <v>28</v>
      </c>
      <c r="B31" s="16" t="s">
        <v>56</v>
      </c>
    </row>
    <row r="32" spans="1:2" x14ac:dyDescent="0.2">
      <c r="A32" s="15">
        <v>29</v>
      </c>
      <c r="B32" s="16" t="s">
        <v>57</v>
      </c>
    </row>
    <row r="33" spans="1:2" x14ac:dyDescent="0.2">
      <c r="A33" s="15">
        <v>30</v>
      </c>
      <c r="B33" s="16" t="s">
        <v>58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8"/>
  <sheetViews>
    <sheetView showGridLines="0" zoomScale="120" zoomScaleNormal="120" workbookViewId="0">
      <pane ySplit="1" topLeftCell="A2" activePane="bottomLeft" state="frozen"/>
      <selection pane="bottomLeft" sqref="A1:XFD1"/>
    </sheetView>
  </sheetViews>
  <sheetFormatPr baseColWidth="10" defaultColWidth="8.6640625" defaultRowHeight="15" x14ac:dyDescent="0.2"/>
  <cols>
    <col min="1" max="1" width="10" style="27" customWidth="1"/>
    <col min="2" max="21" width="12" style="27" customWidth="1"/>
    <col min="22" max="16384" width="8.6640625" style="27"/>
  </cols>
  <sheetData>
    <row r="1" spans="1:21" s="9" customFormat="1" ht="40" customHeight="1" x14ac:dyDescent="0.25">
      <c r="A1" s="13" t="s">
        <v>98</v>
      </c>
      <c r="B1" s="14"/>
      <c r="C1" s="14"/>
    </row>
    <row r="3" spans="1:21" ht="33.75" customHeight="1" x14ac:dyDescent="0.2">
      <c r="A3" s="17" t="s">
        <v>10</v>
      </c>
      <c r="B3" s="26" t="s">
        <v>59</v>
      </c>
      <c r="C3" s="26" t="s">
        <v>60</v>
      </c>
      <c r="D3" s="26" t="s">
        <v>61</v>
      </c>
      <c r="E3" s="26" t="s">
        <v>62</v>
      </c>
      <c r="F3" s="26" t="s">
        <v>63</v>
      </c>
      <c r="G3" s="26" t="s">
        <v>64</v>
      </c>
      <c r="H3" s="26" t="s">
        <v>65</v>
      </c>
      <c r="I3" s="26" t="s">
        <v>66</v>
      </c>
      <c r="J3" s="26" t="s">
        <v>67</v>
      </c>
      <c r="K3" s="26" t="s">
        <v>68</v>
      </c>
      <c r="L3" s="26" t="s">
        <v>69</v>
      </c>
      <c r="M3" s="26" t="s">
        <v>70</v>
      </c>
      <c r="N3" s="26" t="s">
        <v>71</v>
      </c>
      <c r="O3" s="26" t="s">
        <v>72</v>
      </c>
      <c r="P3" s="26" t="s">
        <v>73</v>
      </c>
      <c r="Q3" s="26" t="s">
        <v>74</v>
      </c>
      <c r="R3" s="26" t="s">
        <v>75</v>
      </c>
      <c r="S3" s="26" t="s">
        <v>76</v>
      </c>
      <c r="T3" s="26" t="s">
        <v>77</v>
      </c>
      <c r="U3" s="26" t="s">
        <v>78</v>
      </c>
    </row>
    <row r="4" spans="1:21" x14ac:dyDescent="0.2">
      <c r="A4" s="34" t="s">
        <v>17</v>
      </c>
      <c r="B4" s="31">
        <f>SUMPRODUCT(ISNUMBER(SEARCH($A4,'2. Corpus'!$B$4:$B$33))*ISNUMBER(SEARCH(B$3,'2. Corpus'!$B$4:$B$33)))</f>
        <v>1</v>
      </c>
      <c r="C4" s="31">
        <f>SUMPRODUCT(ISNUMBER(SEARCH($A4,'2. Corpus'!$B$4:$B$33))*ISNUMBER(SEARCH(C$3,'2. Corpus'!$B$4:$B$33)))</f>
        <v>1</v>
      </c>
      <c r="D4" s="31">
        <f>SUMPRODUCT(ISNUMBER(SEARCH($A4,'2. Corpus'!$B$4:$B$33))*ISNUMBER(SEARCH(D$3,'2. Corpus'!$B$4:$B$33)))</f>
        <v>1</v>
      </c>
      <c r="E4" s="31">
        <f>SUMPRODUCT(ISNUMBER(SEARCH($A4,'2. Corpus'!$B$4:$B$33))*ISNUMBER(SEARCH(E$3,'2. Corpus'!$B$4:$B$33)))</f>
        <v>1</v>
      </c>
      <c r="F4" s="31">
        <f>SUMPRODUCT(ISNUMBER(SEARCH($A4,'2. Corpus'!$B$4:$B$33))*ISNUMBER(SEARCH(F$3,'2. Corpus'!$B$4:$B$33)))</f>
        <v>1</v>
      </c>
      <c r="G4" s="31">
        <f>SUMPRODUCT(ISNUMBER(SEARCH($A4,'2. Corpus'!$B$4:$B$33))*ISNUMBER(SEARCH(G$3,'2. Corpus'!$B$4:$B$33)))</f>
        <v>1</v>
      </c>
      <c r="H4" s="31">
        <f>SUMPRODUCT(ISNUMBER(SEARCH($A4,'2. Corpus'!$B$4:$B$33))*ISNUMBER(SEARCH(H$3,'2. Corpus'!$B$4:$B$33)))</f>
        <v>1</v>
      </c>
      <c r="I4" s="31">
        <f>SUMPRODUCT(ISNUMBER(SEARCH($A4,'2. Corpus'!$B$4:$B$33))*ISNUMBER(SEARCH(I$3,'2. Corpus'!$B$4:$B$33)))</f>
        <v>1</v>
      </c>
      <c r="J4" s="31">
        <f>SUMPRODUCT(ISNUMBER(SEARCH($A4,'2. Corpus'!$B$4:$B$33))*ISNUMBER(SEARCH(J$3,'2. Corpus'!$B$4:$B$33)))</f>
        <v>0</v>
      </c>
      <c r="K4" s="31">
        <f>SUMPRODUCT(ISNUMBER(SEARCH($A4,'2. Corpus'!$B$4:$B$33))*ISNUMBER(SEARCH(K$3,'2. Corpus'!$B$4:$B$33)))</f>
        <v>0</v>
      </c>
      <c r="L4" s="31">
        <f>SUMPRODUCT(ISNUMBER(SEARCH($A4,'2. Corpus'!$B$4:$B$33))*ISNUMBER(SEARCH(L$3,'2. Corpus'!$B$4:$B$33)))</f>
        <v>0</v>
      </c>
      <c r="M4" s="31">
        <f>SUMPRODUCT(ISNUMBER(SEARCH($A4,'2. Corpus'!$B$4:$B$33))*ISNUMBER(SEARCH(M$3,'2. Corpus'!$B$4:$B$33)))</f>
        <v>0</v>
      </c>
      <c r="N4" s="31">
        <f>SUMPRODUCT(ISNUMBER(SEARCH($A4,'2. Corpus'!$B$4:$B$33))*ISNUMBER(SEARCH(N$3,'2. Corpus'!$B$4:$B$33)))</f>
        <v>0</v>
      </c>
      <c r="O4" s="31">
        <f>SUMPRODUCT(ISNUMBER(SEARCH($A4,'2. Corpus'!$B$4:$B$33))*ISNUMBER(SEARCH(O$3,'2. Corpus'!$B$4:$B$33)))</f>
        <v>0</v>
      </c>
      <c r="P4" s="31">
        <f>SUMPRODUCT(ISNUMBER(SEARCH($A4,'2. Corpus'!$B$4:$B$33))*ISNUMBER(SEARCH(P$3,'2. Corpus'!$B$4:$B$33)))</f>
        <v>0</v>
      </c>
      <c r="Q4" s="31">
        <f>SUMPRODUCT(ISNUMBER(SEARCH($A4,'2. Corpus'!$B$4:$B$33))*ISNUMBER(SEARCH(Q$3,'2. Corpus'!$B$4:$B$33)))</f>
        <v>0</v>
      </c>
      <c r="R4" s="31">
        <f>SUMPRODUCT(ISNUMBER(SEARCH($A4,'2. Corpus'!$B$4:$B$33))*ISNUMBER(SEARCH(R$3,'2. Corpus'!$B$4:$B$33)))</f>
        <v>0</v>
      </c>
      <c r="S4" s="31">
        <f>SUMPRODUCT(ISNUMBER(SEARCH($A4,'2. Corpus'!$B$4:$B$33))*ISNUMBER(SEARCH(S$3,'2. Corpus'!$B$4:$B$33)))</f>
        <v>0</v>
      </c>
      <c r="T4" s="31">
        <f>SUMPRODUCT(ISNUMBER(SEARCH($A4,'2. Corpus'!$B$4:$B$33))*ISNUMBER(SEARCH(T$3,'2. Corpus'!$B$4:$B$33)))</f>
        <v>0</v>
      </c>
      <c r="U4" s="31">
        <f>SUMPRODUCT(ISNUMBER(SEARCH($A4,'2. Corpus'!$B$4:$B$33))*ISNUMBER(SEARCH(U$3,'2. Corpus'!$B$4:$B$33)))</f>
        <v>0</v>
      </c>
    </row>
    <row r="5" spans="1:21" x14ac:dyDescent="0.2">
      <c r="A5" s="34" t="s">
        <v>18</v>
      </c>
      <c r="B5" s="31">
        <f>SUMPRODUCT(ISNUMBER(SEARCH($A5,'2. Corpus'!$B$4:$B$33))*ISNUMBER(SEARCH(B$3,'2. Corpus'!$B$4:$B$33)))</f>
        <v>1</v>
      </c>
      <c r="C5" s="31">
        <f>SUMPRODUCT(ISNUMBER(SEARCH($A5,'2. Corpus'!$B$4:$B$33))*ISNUMBER(SEARCH(C$3,'2. Corpus'!$B$4:$B$33)))</f>
        <v>1</v>
      </c>
      <c r="D5" s="31">
        <f>SUMPRODUCT(ISNUMBER(SEARCH($A5,'2. Corpus'!$B$4:$B$33))*ISNUMBER(SEARCH(D$3,'2. Corpus'!$B$4:$B$33)))</f>
        <v>1</v>
      </c>
      <c r="E5" s="31">
        <f>SUMPRODUCT(ISNUMBER(SEARCH($A5,'2. Corpus'!$B$4:$B$33))*ISNUMBER(SEARCH(E$3,'2. Corpus'!$B$4:$B$33)))</f>
        <v>1</v>
      </c>
      <c r="F5" s="31">
        <f>SUMPRODUCT(ISNUMBER(SEARCH($A5,'2. Corpus'!$B$4:$B$33))*ISNUMBER(SEARCH(F$3,'2. Corpus'!$B$4:$B$33)))</f>
        <v>1</v>
      </c>
      <c r="G5" s="31">
        <f>SUMPRODUCT(ISNUMBER(SEARCH($A5,'2. Corpus'!$B$4:$B$33))*ISNUMBER(SEARCH(G$3,'2. Corpus'!$B$4:$B$33)))</f>
        <v>0</v>
      </c>
      <c r="H5" s="31">
        <f>SUMPRODUCT(ISNUMBER(SEARCH($A5,'2. Corpus'!$B$4:$B$33))*ISNUMBER(SEARCH(H$3,'2. Corpus'!$B$4:$B$33)))</f>
        <v>0</v>
      </c>
      <c r="I5" s="31">
        <f>SUMPRODUCT(ISNUMBER(SEARCH($A5,'2. Corpus'!$B$4:$B$33))*ISNUMBER(SEARCH(I$3,'2. Corpus'!$B$4:$B$33)))</f>
        <v>0</v>
      </c>
      <c r="J5" s="31">
        <f>SUMPRODUCT(ISNUMBER(SEARCH($A5,'2. Corpus'!$B$4:$B$33))*ISNUMBER(SEARCH(J$3,'2. Corpus'!$B$4:$B$33)))</f>
        <v>1</v>
      </c>
      <c r="K5" s="31">
        <f>SUMPRODUCT(ISNUMBER(SEARCH($A5,'2. Corpus'!$B$4:$B$33))*ISNUMBER(SEARCH(K$3,'2. Corpus'!$B$4:$B$33)))</f>
        <v>1</v>
      </c>
      <c r="L5" s="31">
        <f>SUMPRODUCT(ISNUMBER(SEARCH($A5,'2. Corpus'!$B$4:$B$33))*ISNUMBER(SEARCH(L$3,'2. Corpus'!$B$4:$B$33)))</f>
        <v>1</v>
      </c>
      <c r="M5" s="31">
        <f>SUMPRODUCT(ISNUMBER(SEARCH($A5,'2. Corpus'!$B$4:$B$33))*ISNUMBER(SEARCH(M$3,'2. Corpus'!$B$4:$B$33)))</f>
        <v>0</v>
      </c>
      <c r="N5" s="31">
        <f>SUMPRODUCT(ISNUMBER(SEARCH($A5,'2. Corpus'!$B$4:$B$33))*ISNUMBER(SEARCH(N$3,'2. Corpus'!$B$4:$B$33)))</f>
        <v>0</v>
      </c>
      <c r="O5" s="31">
        <f>SUMPRODUCT(ISNUMBER(SEARCH($A5,'2. Corpus'!$B$4:$B$33))*ISNUMBER(SEARCH(O$3,'2. Corpus'!$B$4:$B$33)))</f>
        <v>0</v>
      </c>
      <c r="P5" s="31">
        <f>SUMPRODUCT(ISNUMBER(SEARCH($A5,'2. Corpus'!$B$4:$B$33))*ISNUMBER(SEARCH(P$3,'2. Corpus'!$B$4:$B$33)))</f>
        <v>0</v>
      </c>
      <c r="Q5" s="31">
        <f>SUMPRODUCT(ISNUMBER(SEARCH($A5,'2. Corpus'!$B$4:$B$33))*ISNUMBER(SEARCH(Q$3,'2. Corpus'!$B$4:$B$33)))</f>
        <v>0</v>
      </c>
      <c r="R5" s="31">
        <f>SUMPRODUCT(ISNUMBER(SEARCH($A5,'2. Corpus'!$B$4:$B$33))*ISNUMBER(SEARCH(R$3,'2. Corpus'!$B$4:$B$33)))</f>
        <v>0</v>
      </c>
      <c r="S5" s="31">
        <f>SUMPRODUCT(ISNUMBER(SEARCH($A5,'2. Corpus'!$B$4:$B$33))*ISNUMBER(SEARCH(S$3,'2. Corpus'!$B$4:$B$33)))</f>
        <v>0</v>
      </c>
      <c r="T5" s="31">
        <f>SUMPRODUCT(ISNUMBER(SEARCH($A5,'2. Corpus'!$B$4:$B$33))*ISNUMBER(SEARCH(T$3,'2. Corpus'!$B$4:$B$33)))</f>
        <v>0</v>
      </c>
      <c r="U5" s="31">
        <f>SUMPRODUCT(ISNUMBER(SEARCH($A5,'2. Corpus'!$B$4:$B$33))*ISNUMBER(SEARCH(U$3,'2. Corpus'!$B$4:$B$33)))</f>
        <v>0</v>
      </c>
    </row>
    <row r="6" spans="1:21" x14ac:dyDescent="0.2">
      <c r="A6" s="34" t="s">
        <v>19</v>
      </c>
      <c r="B6" s="31">
        <f>SUMPRODUCT(ISNUMBER(SEARCH($A6,'2. Corpus'!$B$4:$B$33))*ISNUMBER(SEARCH(B$3,'2. Corpus'!$B$4:$B$33)))</f>
        <v>1</v>
      </c>
      <c r="C6" s="31">
        <f>SUMPRODUCT(ISNUMBER(SEARCH($A6,'2. Corpus'!$B$4:$B$33))*ISNUMBER(SEARCH(C$3,'2. Corpus'!$B$4:$B$33)))</f>
        <v>1</v>
      </c>
      <c r="D6" s="31">
        <f>SUMPRODUCT(ISNUMBER(SEARCH($A6,'2. Corpus'!$B$4:$B$33))*ISNUMBER(SEARCH(D$3,'2. Corpus'!$B$4:$B$33)))</f>
        <v>1</v>
      </c>
      <c r="E6" s="31">
        <f>SUMPRODUCT(ISNUMBER(SEARCH($A6,'2. Corpus'!$B$4:$B$33))*ISNUMBER(SEARCH(E$3,'2. Corpus'!$B$4:$B$33)))</f>
        <v>1</v>
      </c>
      <c r="F6" s="31">
        <f>SUMPRODUCT(ISNUMBER(SEARCH($A6,'2. Corpus'!$B$4:$B$33))*ISNUMBER(SEARCH(F$3,'2. Corpus'!$B$4:$B$33)))</f>
        <v>0</v>
      </c>
      <c r="G6" s="31">
        <f>SUMPRODUCT(ISNUMBER(SEARCH($A6,'2. Corpus'!$B$4:$B$33))*ISNUMBER(SEARCH(G$3,'2. Corpus'!$B$4:$B$33)))</f>
        <v>0</v>
      </c>
      <c r="H6" s="31">
        <f>SUMPRODUCT(ISNUMBER(SEARCH($A6,'2. Corpus'!$B$4:$B$33))*ISNUMBER(SEARCH(H$3,'2. Corpus'!$B$4:$B$33)))</f>
        <v>0</v>
      </c>
      <c r="I6" s="31">
        <f>SUMPRODUCT(ISNUMBER(SEARCH($A6,'2. Corpus'!$B$4:$B$33))*ISNUMBER(SEARCH(I$3,'2. Corpus'!$B$4:$B$33)))</f>
        <v>0</v>
      </c>
      <c r="J6" s="31">
        <f>SUMPRODUCT(ISNUMBER(SEARCH($A6,'2. Corpus'!$B$4:$B$33))*ISNUMBER(SEARCH(J$3,'2. Corpus'!$B$4:$B$33)))</f>
        <v>0</v>
      </c>
      <c r="K6" s="31">
        <f>SUMPRODUCT(ISNUMBER(SEARCH($A6,'2. Corpus'!$B$4:$B$33))*ISNUMBER(SEARCH(K$3,'2. Corpus'!$B$4:$B$33)))</f>
        <v>0</v>
      </c>
      <c r="L6" s="31">
        <f>SUMPRODUCT(ISNUMBER(SEARCH($A6,'2. Corpus'!$B$4:$B$33))*ISNUMBER(SEARCH(L$3,'2. Corpus'!$B$4:$B$33)))</f>
        <v>0</v>
      </c>
      <c r="M6" s="31">
        <f>SUMPRODUCT(ISNUMBER(SEARCH($A6,'2. Corpus'!$B$4:$B$33))*ISNUMBER(SEARCH(M$3,'2. Corpus'!$B$4:$B$33)))</f>
        <v>2</v>
      </c>
      <c r="N6" s="31">
        <f>SUMPRODUCT(ISNUMBER(SEARCH($A6,'2. Corpus'!$B$4:$B$33))*ISNUMBER(SEARCH(N$3,'2. Corpus'!$B$4:$B$33)))</f>
        <v>1</v>
      </c>
      <c r="O6" s="31">
        <f>SUMPRODUCT(ISNUMBER(SEARCH($A6,'2. Corpus'!$B$4:$B$33))*ISNUMBER(SEARCH(O$3,'2. Corpus'!$B$4:$B$33)))</f>
        <v>1</v>
      </c>
      <c r="P6" s="31">
        <f>SUMPRODUCT(ISNUMBER(SEARCH($A6,'2. Corpus'!$B$4:$B$33))*ISNUMBER(SEARCH(P$3,'2. Corpus'!$B$4:$B$33)))</f>
        <v>1</v>
      </c>
      <c r="Q6" s="31">
        <f>SUMPRODUCT(ISNUMBER(SEARCH($A6,'2. Corpus'!$B$4:$B$33))*ISNUMBER(SEARCH(Q$3,'2. Corpus'!$B$4:$B$33)))</f>
        <v>0</v>
      </c>
      <c r="R6" s="31">
        <f>SUMPRODUCT(ISNUMBER(SEARCH($A6,'2. Corpus'!$B$4:$B$33))*ISNUMBER(SEARCH(R$3,'2. Corpus'!$B$4:$B$33)))</f>
        <v>0</v>
      </c>
      <c r="S6" s="31">
        <f>SUMPRODUCT(ISNUMBER(SEARCH($A6,'2. Corpus'!$B$4:$B$33))*ISNUMBER(SEARCH(S$3,'2. Corpus'!$B$4:$B$33)))</f>
        <v>0</v>
      </c>
      <c r="T6" s="31">
        <f>SUMPRODUCT(ISNUMBER(SEARCH($A6,'2. Corpus'!$B$4:$B$33))*ISNUMBER(SEARCH(T$3,'2. Corpus'!$B$4:$B$33)))</f>
        <v>0</v>
      </c>
      <c r="U6" s="31">
        <f>SUMPRODUCT(ISNUMBER(SEARCH($A6,'2. Corpus'!$B$4:$B$33))*ISNUMBER(SEARCH(U$3,'2. Corpus'!$B$4:$B$33)))</f>
        <v>0</v>
      </c>
    </row>
    <row r="7" spans="1:21" x14ac:dyDescent="0.2">
      <c r="A7" s="34" t="s">
        <v>20</v>
      </c>
      <c r="B7" s="31">
        <f>SUMPRODUCT(ISNUMBER(SEARCH($A7,'2. Corpus'!$B$4:$B$33))*ISNUMBER(SEARCH(B$3,'2. Corpus'!$B$4:$B$33)))</f>
        <v>0</v>
      </c>
      <c r="C7" s="31">
        <f>SUMPRODUCT(ISNUMBER(SEARCH($A7,'2. Corpus'!$B$4:$B$33))*ISNUMBER(SEARCH(C$3,'2. Corpus'!$B$4:$B$33)))</f>
        <v>0</v>
      </c>
      <c r="D7" s="31">
        <f>SUMPRODUCT(ISNUMBER(SEARCH($A7,'2. Corpus'!$B$4:$B$33))*ISNUMBER(SEARCH(D$3,'2. Corpus'!$B$4:$B$33)))</f>
        <v>0</v>
      </c>
      <c r="E7" s="31">
        <f>SUMPRODUCT(ISNUMBER(SEARCH($A7,'2. Corpus'!$B$4:$B$33))*ISNUMBER(SEARCH(E$3,'2. Corpus'!$B$4:$B$33)))</f>
        <v>0</v>
      </c>
      <c r="F7" s="31">
        <f>SUMPRODUCT(ISNUMBER(SEARCH($A7,'2. Corpus'!$B$4:$B$33))*ISNUMBER(SEARCH(F$3,'2. Corpus'!$B$4:$B$33)))</f>
        <v>1</v>
      </c>
      <c r="G7" s="31">
        <f>SUMPRODUCT(ISNUMBER(SEARCH($A7,'2. Corpus'!$B$4:$B$33))*ISNUMBER(SEARCH(G$3,'2. Corpus'!$B$4:$B$33)))</f>
        <v>0</v>
      </c>
      <c r="H7" s="31">
        <f>SUMPRODUCT(ISNUMBER(SEARCH($A7,'2. Corpus'!$B$4:$B$33))*ISNUMBER(SEARCH(H$3,'2. Corpus'!$B$4:$B$33)))</f>
        <v>0</v>
      </c>
      <c r="I7" s="31">
        <f>SUMPRODUCT(ISNUMBER(SEARCH($A7,'2. Corpus'!$B$4:$B$33))*ISNUMBER(SEARCH(I$3,'2. Corpus'!$B$4:$B$33)))</f>
        <v>0</v>
      </c>
      <c r="J7" s="31">
        <f>SUMPRODUCT(ISNUMBER(SEARCH($A7,'2. Corpus'!$B$4:$B$33))*ISNUMBER(SEARCH(J$3,'2. Corpus'!$B$4:$B$33)))</f>
        <v>0</v>
      </c>
      <c r="K7" s="31">
        <f>SUMPRODUCT(ISNUMBER(SEARCH($A7,'2. Corpus'!$B$4:$B$33))*ISNUMBER(SEARCH(K$3,'2. Corpus'!$B$4:$B$33)))</f>
        <v>0</v>
      </c>
      <c r="L7" s="31">
        <f>SUMPRODUCT(ISNUMBER(SEARCH($A7,'2. Corpus'!$B$4:$B$33))*ISNUMBER(SEARCH(L$3,'2. Corpus'!$B$4:$B$33)))</f>
        <v>0</v>
      </c>
      <c r="M7" s="31">
        <f>SUMPRODUCT(ISNUMBER(SEARCH($A7,'2. Corpus'!$B$4:$B$33))*ISNUMBER(SEARCH(M$3,'2. Corpus'!$B$4:$B$33)))</f>
        <v>0</v>
      </c>
      <c r="N7" s="31">
        <f>SUMPRODUCT(ISNUMBER(SEARCH($A7,'2. Corpus'!$B$4:$B$33))*ISNUMBER(SEARCH(N$3,'2. Corpus'!$B$4:$B$33)))</f>
        <v>0</v>
      </c>
      <c r="O7" s="31">
        <f>SUMPRODUCT(ISNUMBER(SEARCH($A7,'2. Corpus'!$B$4:$B$33))*ISNUMBER(SEARCH(O$3,'2. Corpus'!$B$4:$B$33)))</f>
        <v>0</v>
      </c>
      <c r="P7" s="31">
        <f>SUMPRODUCT(ISNUMBER(SEARCH($A7,'2. Corpus'!$B$4:$B$33))*ISNUMBER(SEARCH(P$3,'2. Corpus'!$B$4:$B$33)))</f>
        <v>0</v>
      </c>
      <c r="Q7" s="31">
        <f>SUMPRODUCT(ISNUMBER(SEARCH($A7,'2. Corpus'!$B$4:$B$33))*ISNUMBER(SEARCH(Q$3,'2. Corpus'!$B$4:$B$33)))</f>
        <v>1</v>
      </c>
      <c r="R7" s="31">
        <f>SUMPRODUCT(ISNUMBER(SEARCH($A7,'2. Corpus'!$B$4:$B$33))*ISNUMBER(SEARCH(R$3,'2. Corpus'!$B$4:$B$33)))</f>
        <v>1</v>
      </c>
      <c r="S7" s="31">
        <f>SUMPRODUCT(ISNUMBER(SEARCH($A7,'2. Corpus'!$B$4:$B$33))*ISNUMBER(SEARCH(S$3,'2. Corpus'!$B$4:$B$33)))</f>
        <v>1</v>
      </c>
      <c r="T7" s="31">
        <f>SUMPRODUCT(ISNUMBER(SEARCH($A7,'2. Corpus'!$B$4:$B$33))*ISNUMBER(SEARCH(T$3,'2. Corpus'!$B$4:$B$33)))</f>
        <v>1</v>
      </c>
      <c r="U7" s="31">
        <f>SUMPRODUCT(ISNUMBER(SEARCH($A7,'2. Corpus'!$B$4:$B$33))*ISNUMBER(SEARCH(U$3,'2. Corpus'!$B$4:$B$33)))</f>
        <v>1</v>
      </c>
    </row>
    <row r="10" spans="1:21" ht="30" customHeight="1" x14ac:dyDescent="0.2">
      <c r="A10" s="32" t="s">
        <v>79</v>
      </c>
    </row>
    <row r="11" spans="1:21" x14ac:dyDescent="0.2">
      <c r="A11" s="29" t="s">
        <v>80</v>
      </c>
    </row>
    <row r="12" spans="1:21" x14ac:dyDescent="0.2">
      <c r="A12" s="33"/>
      <c r="B12" s="17" t="s">
        <v>17</v>
      </c>
      <c r="C12" s="17" t="s">
        <v>18</v>
      </c>
      <c r="D12" s="17" t="s">
        <v>19</v>
      </c>
      <c r="E12" s="17" t="s">
        <v>20</v>
      </c>
    </row>
    <row r="13" spans="1:21" x14ac:dyDescent="0.2">
      <c r="A13" s="34" t="s">
        <v>17</v>
      </c>
      <c r="B13" s="30">
        <f>SUMPRODUCT($B$4:$U$4,$B$4:$U$4)/(SQRT(SUMSQ($B$4:$U$4))*SQRT(SUMSQ($B$4:$U$4)))</f>
        <v>0.99999999999999978</v>
      </c>
      <c r="C13" s="30">
        <f>SUMPRODUCT($B$4:$U$4,$B$5:$U$5)/(SQRT(SUMSQ($B$4:$U$4))*SQRT(SUMSQ($B$5:$U$5)))</f>
        <v>0.62499999999999989</v>
      </c>
      <c r="D13" s="30">
        <f>SUMPRODUCT($B$4:$U$4,$B$6:$U$6)/(SQRT(SUMSQ($B$4:$U$4))*SQRT(SUMSQ($B$6:$U$6)))</f>
        <v>0.42640143271122083</v>
      </c>
      <c r="E13" s="30">
        <f>SUMPRODUCT($B$4:$U$4,$B$7:$U$7)/(SQRT(SUMSQ($B$4:$U$4))*SQRT(SUMSQ($B$7:$U$7)))</f>
        <v>0.14433756729740646</v>
      </c>
    </row>
    <row r="14" spans="1:21" x14ac:dyDescent="0.2">
      <c r="A14" s="34" t="s">
        <v>18</v>
      </c>
      <c r="B14" s="30">
        <f>SUMPRODUCT($B$5:$U$5,$B$4:$U$4)/(SQRT(SUMSQ($B$5:$U$5))*SQRT(SUMSQ($B$4:$U$4)))</f>
        <v>0.62499999999999989</v>
      </c>
      <c r="C14" s="30">
        <f>SUMPRODUCT($B$5:$U$5,$B$5:$U$5)/(SQRT(SUMSQ($B$5:$U$5))*SQRT(SUMSQ($B$5:$U$5)))</f>
        <v>0.99999999999999978</v>
      </c>
      <c r="D14" s="30">
        <f>SUMPRODUCT($B$5:$U$5,$B$6:$U$6)/(SQRT(SUMSQ($B$5:$U$5))*SQRT(SUMSQ($B$6:$U$6)))</f>
        <v>0.42640143271122083</v>
      </c>
      <c r="E14" s="30">
        <f>SUMPRODUCT($B$5:$U$5,$B$7:$U$7)/(SQRT(SUMSQ($B$5:$U$5))*SQRT(SUMSQ($B$7:$U$7)))</f>
        <v>0.14433756729740646</v>
      </c>
    </row>
    <row r="15" spans="1:21" x14ac:dyDescent="0.2">
      <c r="A15" s="34" t="s">
        <v>19</v>
      </c>
      <c r="B15" s="30">
        <f>SUMPRODUCT($B$6:$U$6,$B$4:$U$4)/(SQRT(SUMSQ($B$6:$U$6))*SQRT(SUMSQ($B$4:$U$4)))</f>
        <v>0.42640143271122083</v>
      </c>
      <c r="C15" s="30">
        <f>SUMPRODUCT($B$6:$U$6,$B$5:$U$5)/(SQRT(SUMSQ($B$6:$U$6))*SQRT(SUMSQ($B$5:$U$5)))</f>
        <v>0.42640143271122083</v>
      </c>
      <c r="D15" s="30">
        <f>SUMPRODUCT($B$6:$U$6,$B$6:$U$6)/(SQRT(SUMSQ($B$6:$U$6))*SQRT(SUMSQ($B$6:$U$6)))</f>
        <v>1</v>
      </c>
      <c r="E15" s="30">
        <f>SUMPRODUCT($B$6:$U$6,$B$7:$U$7)/(SQRT(SUMSQ($B$6:$U$6))*SQRT(SUMSQ($B$7:$U$7)))</f>
        <v>0</v>
      </c>
    </row>
    <row r="16" spans="1:21" x14ac:dyDescent="0.2">
      <c r="A16" s="34" t="s">
        <v>20</v>
      </c>
      <c r="B16" s="30">
        <f>SUMPRODUCT($B$7:$U$7,$B$4:$U$4)/(SQRT(SUMSQ($B$7:$U$7))*SQRT(SUMSQ($B$4:$U$4)))</f>
        <v>0.14433756729740646</v>
      </c>
      <c r="C16" s="30">
        <f>SUMPRODUCT($B$7:$U$7,$B$5:$U$5)/(SQRT(SUMSQ($B$7:$U$7))*SQRT(SUMSQ($B$5:$U$5)))</f>
        <v>0.14433756729740646</v>
      </c>
      <c r="D16" s="30">
        <f>SUMPRODUCT($B$7:$U$7,$B$6:$U$6)/(SQRT(SUMSQ($B$7:$U$7))*SQRT(SUMSQ($B$6:$U$6)))</f>
        <v>0</v>
      </c>
      <c r="E16" s="30">
        <f>SUMPRODUCT($B$7:$U$7,$B$7:$U$7)/(SQRT(SUMSQ($B$7:$U$7))*SQRT(SUMSQ($B$7:$U$7)))</f>
        <v>1.0000000000000002</v>
      </c>
    </row>
    <row r="18" spans="1:1" x14ac:dyDescent="0.2">
      <c r="A18" s="28" t="s">
        <v>81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3"/>
  <sheetViews>
    <sheetView showGridLines="0" zoomScale="130" zoomScaleNormal="130" workbookViewId="0">
      <pane ySplit="1" topLeftCell="A2" activePane="bottomLeft" state="frozen"/>
      <selection pane="bottomLeft" sqref="A1:XFD1"/>
    </sheetView>
  </sheetViews>
  <sheetFormatPr baseColWidth="10" defaultColWidth="8.6640625" defaultRowHeight="15" x14ac:dyDescent="0.2"/>
  <cols>
    <col min="2" max="2" width="45" customWidth="1"/>
    <col min="3" max="3" width="60" customWidth="1"/>
  </cols>
  <sheetData>
    <row r="1" spans="1:3" s="9" customFormat="1" ht="40" customHeight="1" x14ac:dyDescent="0.25">
      <c r="A1" s="13" t="s">
        <v>82</v>
      </c>
      <c r="B1" s="14"/>
      <c r="C1" s="14"/>
    </row>
    <row r="3" spans="1:3" x14ac:dyDescent="0.2">
      <c r="A3" s="1" t="s">
        <v>83</v>
      </c>
    </row>
    <row r="5" spans="1:3" ht="21.75" customHeight="1" x14ac:dyDescent="0.2">
      <c r="B5" s="25" t="s">
        <v>84</v>
      </c>
      <c r="C5" s="25" t="s">
        <v>85</v>
      </c>
    </row>
    <row r="6" spans="1:3" ht="54.75" customHeight="1" x14ac:dyDescent="0.2">
      <c r="B6" s="2" t="s">
        <v>86</v>
      </c>
      <c r="C6" s="2" t="s">
        <v>87</v>
      </c>
    </row>
    <row r="7" spans="1:3" ht="54.75" customHeight="1" x14ac:dyDescent="0.2">
      <c r="B7" s="2" t="s">
        <v>88</v>
      </c>
      <c r="C7" s="2" t="s">
        <v>89</v>
      </c>
    </row>
    <row r="8" spans="1:3" ht="54.75" customHeight="1" x14ac:dyDescent="0.2">
      <c r="B8" s="2" t="s">
        <v>90</v>
      </c>
      <c r="C8" s="2" t="s">
        <v>91</v>
      </c>
    </row>
    <row r="9" spans="1:3" ht="54.75" customHeight="1" x14ac:dyDescent="0.2">
      <c r="B9" s="2" t="s">
        <v>92</v>
      </c>
      <c r="C9" s="2" t="s">
        <v>93</v>
      </c>
    </row>
    <row r="10" spans="1:3" ht="54.75" customHeight="1" x14ac:dyDescent="0.2">
      <c r="B10" s="2" t="s">
        <v>94</v>
      </c>
      <c r="C10" s="2" t="s">
        <v>95</v>
      </c>
    </row>
    <row r="11" spans="1:3" ht="54.75" customHeight="1" x14ac:dyDescent="0.2">
      <c r="B11" s="2" t="s">
        <v>96</v>
      </c>
      <c r="C11" s="2" t="s">
        <v>97</v>
      </c>
    </row>
    <row r="13" spans="1:3" ht="34.5" customHeight="1" x14ac:dyDescent="0.2">
      <c r="B13" s="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Instrucciones</vt:lpstr>
      <vt:lpstr>1. Rasgos manuales</vt:lpstr>
      <vt:lpstr>2. Corpus</vt:lpstr>
      <vt:lpstr>3. Coocurrencia</vt:lpstr>
      <vt:lpstr>4. Qué mejorar</vt:lpstr>
      <vt:lpstr>v_auto</vt:lpstr>
      <vt:lpstr>v_conejo</vt:lpstr>
      <vt:lpstr>v_gato</vt:lpstr>
      <vt:lpstr>v_perro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Franco Mansilla IbaÃ±ez</cp:lastModifiedBy>
  <cp:revision>1</cp:revision>
  <dcterms:created xsi:type="dcterms:W3CDTF">2026-06-30T20:39:16Z</dcterms:created>
  <dcterms:modified xsi:type="dcterms:W3CDTF">2026-10-05T00:14:02Z</dcterms:modified>
  <dc:language>en-US</dc:language>
</cp:coreProperties>
</file>