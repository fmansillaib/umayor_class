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francomansilla/Downloads/"/>
    </mc:Choice>
  </mc:AlternateContent>
  <xr:revisionPtr revIDLastSave="0" documentId="13_ncr:1_{C49E6DED-5E4E-9248-9D4B-81D733EF97B9}" xr6:coauthVersionLast="47" xr6:coauthVersionMax="47" xr10:uidLastSave="{00000000-0000-0000-0000-000000000000}"/>
  <bookViews>
    <workbookView xWindow="-38400" yWindow="0" windowWidth="38400" windowHeight="21600" tabRatio="500" activeTab="8" xr2:uid="{00000000-000D-0000-FFFF-FFFF00000000}"/>
  </bookViews>
  <sheets>
    <sheet name="Instrucciones" sheetId="2" r:id="rId1"/>
    <sheet name="1. Rasgos manuales" sheetId="3" r:id="rId2"/>
    <sheet name="2. Corpus" sheetId="4" r:id="rId3"/>
    <sheet name="3. Coocurrencia" sheetId="5" r:id="rId4"/>
    <sheet name="4. Qué mejorar" sheetId="6" r:id="rId5"/>
    <sheet name="5. El problema" sheetId="7" r:id="rId6"/>
    <sheet name="6. Atención A" sheetId="8" r:id="rId7"/>
    <sheet name="7. Atención B" sheetId="9" r:id="rId8"/>
    <sheet name="8. Comparación" sheetId="10" r:id="rId9"/>
  </sheets>
  <definedNames>
    <definedName name="v_auto">'1. Rasgos manuales'!$B$7:$G$7</definedName>
    <definedName name="v_conejo">'1. Rasgos manuales'!$B$6:$G$6</definedName>
    <definedName name="v_gato">'1. Rasgos manuales'!$B$5:$G$5</definedName>
    <definedName name="v_perro">'1. Rasgos manuales'!$B$4:$G$4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9" l="1"/>
  <c r="G12" i="8"/>
  <c r="F12" i="8"/>
  <c r="B5" i="8"/>
  <c r="G8" i="7"/>
  <c r="G6" i="10" s="1"/>
  <c r="F8" i="7"/>
  <c r="F6" i="10" s="1"/>
  <c r="E8" i="7"/>
  <c r="E6" i="10" s="1"/>
  <c r="D8" i="7"/>
  <c r="D12" i="8" s="1"/>
  <c r="C8" i="7"/>
  <c r="C6" i="10" s="1"/>
  <c r="B8" i="7"/>
  <c r="B12" i="8" s="1"/>
  <c r="G7" i="7"/>
  <c r="G13" i="9" s="1"/>
  <c r="F7" i="7"/>
  <c r="F13" i="9" s="1"/>
  <c r="E7" i="7"/>
  <c r="E13" i="9" s="1"/>
  <c r="D7" i="7"/>
  <c r="D13" i="9" s="1"/>
  <c r="C7" i="7"/>
  <c r="C13" i="9" s="1"/>
  <c r="B7" i="7"/>
  <c r="B13" i="9" s="1"/>
  <c r="G6" i="7"/>
  <c r="G12" i="9" s="1"/>
  <c r="F6" i="7"/>
  <c r="F5" i="10" s="1"/>
  <c r="E6" i="7"/>
  <c r="E12" i="9" s="1"/>
  <c r="D6" i="7"/>
  <c r="D12" i="9" s="1"/>
  <c r="C6" i="7"/>
  <c r="C12" i="9" s="1"/>
  <c r="B6" i="7"/>
  <c r="B12" i="9" s="1"/>
  <c r="G5" i="7"/>
  <c r="F5" i="7"/>
  <c r="E5" i="7"/>
  <c r="D5" i="7"/>
  <c r="C5" i="7"/>
  <c r="B5" i="7"/>
  <c r="U7" i="5"/>
  <c r="T7" i="5"/>
  <c r="S7" i="5"/>
  <c r="R7" i="5"/>
  <c r="Q7" i="5"/>
  <c r="P7" i="5"/>
  <c r="O7" i="5"/>
  <c r="N7" i="5"/>
  <c r="M7" i="5"/>
  <c r="L7" i="5"/>
  <c r="K7" i="5"/>
  <c r="J7" i="5"/>
  <c r="I7" i="5"/>
  <c r="H7" i="5"/>
  <c r="G7" i="5"/>
  <c r="F7" i="5"/>
  <c r="E7" i="5"/>
  <c r="D7" i="5"/>
  <c r="C7" i="5"/>
  <c r="B7" i="5"/>
  <c r="U6" i="5"/>
  <c r="T6" i="5"/>
  <c r="S6" i="5"/>
  <c r="R6" i="5"/>
  <c r="Q6" i="5"/>
  <c r="P6" i="5"/>
  <c r="O6" i="5"/>
  <c r="N6" i="5"/>
  <c r="M6" i="5"/>
  <c r="L6" i="5"/>
  <c r="K6" i="5"/>
  <c r="J6" i="5"/>
  <c r="I6" i="5"/>
  <c r="H6" i="5"/>
  <c r="G6" i="5"/>
  <c r="F6" i="5"/>
  <c r="E6" i="5"/>
  <c r="D6" i="5"/>
  <c r="C6" i="5"/>
  <c r="B6" i="5"/>
  <c r="U5" i="5"/>
  <c r="T5" i="5"/>
  <c r="S5" i="5"/>
  <c r="R5" i="5"/>
  <c r="Q5" i="5"/>
  <c r="P5" i="5"/>
  <c r="O5" i="5"/>
  <c r="N5" i="5"/>
  <c r="M5" i="5"/>
  <c r="L5" i="5"/>
  <c r="K5" i="5"/>
  <c r="J5" i="5"/>
  <c r="I5" i="5"/>
  <c r="H5" i="5"/>
  <c r="G5" i="5"/>
  <c r="F5" i="5"/>
  <c r="E5" i="5"/>
  <c r="D5" i="5"/>
  <c r="C5" i="5"/>
  <c r="B5" i="5"/>
  <c r="E14" i="5" s="1"/>
  <c r="U4" i="5"/>
  <c r="T4" i="5"/>
  <c r="S4" i="5"/>
  <c r="R4" i="5"/>
  <c r="Q4" i="5"/>
  <c r="P4" i="5"/>
  <c r="O4" i="5"/>
  <c r="N4" i="5"/>
  <c r="M4" i="5"/>
  <c r="L4" i="5"/>
  <c r="K4" i="5"/>
  <c r="J4" i="5"/>
  <c r="I4" i="5"/>
  <c r="H4" i="5"/>
  <c r="G4" i="5"/>
  <c r="F4" i="5"/>
  <c r="E4" i="5"/>
  <c r="D4" i="5"/>
  <c r="C4" i="5"/>
  <c r="B4" i="5"/>
  <c r="E13" i="5" s="1"/>
  <c r="E20" i="3"/>
  <c r="D20" i="3"/>
  <c r="C20" i="3"/>
  <c r="B20" i="3"/>
  <c r="E19" i="3"/>
  <c r="D19" i="3"/>
  <c r="C19" i="3"/>
  <c r="B19" i="3"/>
  <c r="E18" i="3"/>
  <c r="D18" i="3"/>
  <c r="C18" i="3"/>
  <c r="B18" i="3"/>
  <c r="E17" i="3"/>
  <c r="D17" i="3"/>
  <c r="C17" i="3"/>
  <c r="B17" i="3"/>
  <c r="E12" i="8" l="1"/>
  <c r="G5" i="10"/>
  <c r="G9" i="7"/>
  <c r="E9" i="7"/>
  <c r="E7" i="10" s="1"/>
  <c r="F9" i="7"/>
  <c r="F8" i="9" s="1"/>
  <c r="F18" i="9" s="1"/>
  <c r="C15" i="5"/>
  <c r="E16" i="5"/>
  <c r="B13" i="5"/>
  <c r="D15" i="5"/>
  <c r="B9" i="7"/>
  <c r="C12" i="8"/>
  <c r="F12" i="9"/>
  <c r="B5" i="10"/>
  <c r="D6" i="10"/>
  <c r="C13" i="5"/>
  <c r="E15" i="5"/>
  <c r="C9" i="7"/>
  <c r="C5" i="10"/>
  <c r="G7" i="10"/>
  <c r="D13" i="5"/>
  <c r="B16" i="5"/>
  <c r="D9" i="7"/>
  <c r="D5" i="10"/>
  <c r="C16" i="5"/>
  <c r="E5" i="10"/>
  <c r="B14" i="5"/>
  <c r="D16" i="5"/>
  <c r="C14" i="5"/>
  <c r="G11" i="9"/>
  <c r="D14" i="5"/>
  <c r="B15" i="5"/>
  <c r="G11" i="8"/>
  <c r="B6" i="10"/>
  <c r="F11" i="9" l="1"/>
  <c r="E8" i="8"/>
  <c r="E17" i="8" s="1"/>
  <c r="E11" i="9"/>
  <c r="I6" i="10"/>
  <c r="F11" i="8"/>
  <c r="F8" i="8"/>
  <c r="F17" i="8" s="1"/>
  <c r="E8" i="9"/>
  <c r="E18" i="9" s="1"/>
  <c r="E11" i="8"/>
  <c r="F7" i="10"/>
  <c r="G8" i="9"/>
  <c r="G18" i="9" s="1"/>
  <c r="G8" i="8"/>
  <c r="G17" i="8" s="1"/>
  <c r="C8" i="8"/>
  <c r="C17" i="8" s="1"/>
  <c r="C7" i="10"/>
  <c r="C8" i="9"/>
  <c r="C18" i="9" s="1"/>
  <c r="C11" i="8"/>
  <c r="C11" i="9"/>
  <c r="E13" i="7"/>
  <c r="D13" i="7"/>
  <c r="B8" i="8"/>
  <c r="B17" i="8" s="1"/>
  <c r="C13" i="7"/>
  <c r="B7" i="10"/>
  <c r="B13" i="7"/>
  <c r="B8" i="9"/>
  <c r="B11" i="8"/>
  <c r="B11" i="9"/>
  <c r="D8" i="8"/>
  <c r="D17" i="8" s="1"/>
  <c r="D7" i="10"/>
  <c r="D8" i="9"/>
  <c r="D18" i="9" s="1"/>
  <c r="D11" i="8"/>
  <c r="D11" i="9"/>
  <c r="I5" i="10"/>
  <c r="H5" i="10"/>
  <c r="H6" i="10"/>
  <c r="C22" i="8" l="1"/>
  <c r="B22" i="8"/>
  <c r="D22" i="8" s="1"/>
  <c r="H11" i="9"/>
  <c r="I11" i="9" s="1"/>
  <c r="J11" i="9" s="1"/>
  <c r="H11" i="8"/>
  <c r="B18" i="9"/>
  <c r="H12" i="9"/>
  <c r="I12" i="9" s="1"/>
  <c r="J12" i="9" s="1"/>
  <c r="H13" i="9"/>
  <c r="I13" i="9" s="1"/>
  <c r="J13" i="9" s="1"/>
  <c r="I7" i="10"/>
  <c r="H7" i="10"/>
  <c r="H12" i="8"/>
  <c r="I12" i="8" s="1"/>
  <c r="J12" i="8" s="1"/>
  <c r="C23" i="9" l="1"/>
  <c r="B23" i="9"/>
  <c r="D23" i="9" s="1"/>
  <c r="B32" i="7"/>
  <c r="C32" i="7" s="1"/>
  <c r="B31" i="7"/>
  <c r="C31" i="7" s="1"/>
  <c r="I11" i="8"/>
  <c r="J11" i="8" s="1"/>
  <c r="B30" i="7"/>
  <c r="C30" i="7" s="1"/>
  <c r="J14" i="9"/>
  <c r="K12" i="9" l="1"/>
  <c r="N12" i="9" s="1"/>
  <c r="K13" i="9"/>
  <c r="O13" i="9" s="1"/>
  <c r="L12" i="9"/>
  <c r="Q12" i="9"/>
  <c r="P12" i="9"/>
  <c r="Q13" i="9"/>
  <c r="P13" i="9"/>
  <c r="K11" i="9"/>
  <c r="J13" i="8"/>
  <c r="K11" i="8"/>
  <c r="O12" i="9" l="1"/>
  <c r="M12" i="9"/>
  <c r="L13" i="9"/>
  <c r="M13" i="9"/>
  <c r="N13" i="9"/>
  <c r="Q11" i="8"/>
  <c r="P11" i="8"/>
  <c r="O11" i="8"/>
  <c r="N11" i="8"/>
  <c r="M11" i="8"/>
  <c r="L11" i="8"/>
  <c r="K14" i="9"/>
  <c r="Q11" i="9"/>
  <c r="Q14" i="9" s="1"/>
  <c r="G17" i="9" s="1"/>
  <c r="P11" i="9"/>
  <c r="P14" i="9" s="1"/>
  <c r="F17" i="9" s="1"/>
  <c r="O11" i="9"/>
  <c r="N11" i="9"/>
  <c r="N14" i="9" s="1"/>
  <c r="D17" i="9" s="1"/>
  <c r="M11" i="9"/>
  <c r="L11" i="9"/>
  <c r="K12" i="8"/>
  <c r="K13" i="8" s="1"/>
  <c r="O14" i="9" l="1"/>
  <c r="E17" i="9" s="1"/>
  <c r="M14" i="9"/>
  <c r="C17" i="9" s="1"/>
  <c r="L14" i="9"/>
  <c r="B17" i="9" s="1"/>
  <c r="C24" i="9" s="1"/>
  <c r="C25" i="9" s="1"/>
  <c r="D19" i="9"/>
  <c r="D9" i="10"/>
  <c r="F19" i="9"/>
  <c r="F9" i="10"/>
  <c r="G19" i="9"/>
  <c r="G9" i="10"/>
  <c r="L12" i="8"/>
  <c r="L13" i="8" s="1"/>
  <c r="B16" i="8" s="1"/>
  <c r="Q12" i="8"/>
  <c r="Q13" i="8" s="1"/>
  <c r="G16" i="8" s="1"/>
  <c r="P12" i="8"/>
  <c r="P13" i="8" s="1"/>
  <c r="F16" i="8" s="1"/>
  <c r="O12" i="8"/>
  <c r="O13" i="8" s="1"/>
  <c r="E16" i="8" s="1"/>
  <c r="N12" i="8"/>
  <c r="N13" i="8" s="1"/>
  <c r="D16" i="8" s="1"/>
  <c r="M12" i="8"/>
  <c r="M13" i="8" s="1"/>
  <c r="C16" i="8" s="1"/>
  <c r="B24" i="9"/>
  <c r="B9" i="10"/>
  <c r="C19" i="9"/>
  <c r="C9" i="10"/>
  <c r="E19" i="9"/>
  <c r="E9" i="10"/>
  <c r="B19" i="9" l="1"/>
  <c r="F8" i="10"/>
  <c r="F18" i="8"/>
  <c r="G8" i="10"/>
  <c r="G18" i="8"/>
  <c r="C23" i="8"/>
  <c r="C24" i="8" s="1"/>
  <c r="B18" i="8"/>
  <c r="B23" i="8"/>
  <c r="B8" i="10"/>
  <c r="B25" i="9"/>
  <c r="B27" i="9" s="1"/>
  <c r="D24" i="9"/>
  <c r="D25" i="9" s="1"/>
  <c r="D18" i="8"/>
  <c r="D8" i="10"/>
  <c r="E8" i="10"/>
  <c r="E18" i="8"/>
  <c r="C18" i="8"/>
  <c r="C8" i="10"/>
  <c r="I9" i="10"/>
  <c r="H9" i="10"/>
  <c r="B24" i="8" l="1"/>
  <c r="B26" i="8" s="1"/>
  <c r="D23" i="8"/>
  <c r="D24" i="8" s="1"/>
  <c r="I8" i="10"/>
  <c r="H8" i="10"/>
</calcChain>
</file>

<file path=xl/sharedStrings.xml><?xml version="1.0" encoding="utf-8"?>
<sst xmlns="http://schemas.openxmlformats.org/spreadsheetml/2006/main" count="293" uniqueCount="174">
  <si>
    <t>Un Transformer hace exactamente esto, con vectores de miles de dimensiones, para todas las palabras a la vez, con muchas «cabezas» de atención en paralelo y repetido en decenas de capas. Dos simplificaciones nuestras: (1) el puntaje real es un producto punto dividido por la raíz de la dimensión, no el coseno; (2) en el modelo real cada vector se transforma primero en tres versiones aprendidas (consulta, clave y valor). Aquí usamos el mismo vector para las tres.</t>
  </si>
  <si>
    <t>Cómo construir un modelo de embeddings en Excel — perro, gato, conejo y auto</t>
  </si>
  <si>
    <t>Un embedding es solo una lista de números que representa una palabra. Aquí vas a construir dos versiones con la misma idea de fondo: medir qué tan "cerca" están dos palabras comparando sus vectores. Se agregó un cuarto elemento, "auto", que no tiene nada que ver con los animales, para comprobar que el modelo lo nota — y para ver qué pasa cuando no lo nota.</t>
  </si>
  <si>
    <t>Hoja "1. Rasgos manuales"</t>
  </si>
  <si>
    <t>Tú eliges las características (tamaño, ruido que hace, etc.) y les pones un puntaje del 1 al 10 a cada palabra. Rápido de armar, pero subjetivo. Incluye la fórmula de similitud coseno explicada paso a paso.</t>
  </si>
  <si>
    <t>Hoja "2. Corpus"</t>
  </si>
  <si>
    <t>Un grupo de oraciones de ejemplo que mencionan a los tres animales, más seis oraciones sobre "auto" al final. Esto hace de "datos de entrenamiento".</t>
  </si>
  <si>
    <t>Hoja "3. Coocurrencia"</t>
  </si>
  <si>
    <t>El vector de cada palabra se arma contando, con fórmulas, cuántas veces aparece junto a cada palabra de contexto. Así se calculan los embeddings de verdad: nadie los elige a mano, emergen de los datos.</t>
  </si>
  <si>
    <t>Hoja "4. Qué mejorar"</t>
  </si>
  <si>
    <t>Un resumen honesto de qué se simplificó en este ejercicio y cómo lo resuelven los modelos de embeddings reales — los mismos que usan ChatGPT, Gemini y Claude.</t>
  </si>
  <si>
    <t>Palabra</t>
  </si>
  <si>
    <t>Tamaño (1-10)</t>
  </si>
  <si>
    <t>Hace ruido (1-10)</t>
  </si>
  <si>
    <t>Necesita paseos (1-10)</t>
  </si>
  <si>
    <t>Vive en jaula (1-10)</t>
  </si>
  <si>
    <t>Independencia (1-10)</t>
  </si>
  <si>
    <t>Cariñoso (1-10)</t>
  </si>
  <si>
    <t>perro</t>
  </si>
  <si>
    <t>gato</t>
  </si>
  <si>
    <t>conejo</t>
  </si>
  <si>
    <t>auto</t>
  </si>
  <si>
    <t>¿Qué es la similitud coseno?</t>
  </si>
  <si>
    <t>similitud(A, B) = (A · B) / (|A| × |B|)</t>
  </si>
  <si>
    <t>A · B es el producto punto entre los dos vectores: multiplicas cada par de números y sumas (en Excel, SUMPRODUCT). |A| y |B| son el "largo" de cada vector: la raíz cuadrada de la suma de sus números al cuadrado (en Excel, SQRT(SUMSQ)). El resultado va de -1 a 1: 1 significa que los dos vectores apuntan exactamente en la misma dirección, 0 que no comparten ninguna dirección en común, y los negativos que apuntan en direcciones opuestas.</t>
  </si>
  <si>
    <t>¿Por qué coseno y no solo distancia? Porque el coseno solo mira la dirección del vector, no su tamaño. Un vector [2,2] y otro [10,10] dan similitud 1: misma dirección, aunque uno sea diez veces "más grande". Eso es justo lo que importa al comparar palabras: el patrón de contextos, no cuántas veces en total aparece cada una.</t>
  </si>
  <si>
    <t>Matriz de similitud (coseno) — 1 = idénticos, 0 = nada en común</t>
  </si>
  <si>
    <t>Ojo con valor abosluto sobre un valor vs vector</t>
  </si>
  <si>
    <t>#</t>
  </si>
  <si>
    <t>Oración</t>
  </si>
  <si>
    <t>El perro es una mascota muy fiel.</t>
  </si>
  <si>
    <t>El gato es una mascota independiente.</t>
  </si>
  <si>
    <t>El conejo es una mascota tranquila.</t>
  </si>
  <si>
    <t>Llevamos al perro al veterinario.</t>
  </si>
  <si>
    <t>Llevamos al gato al veterinario.</t>
  </si>
  <si>
    <t>Llevamos al conejo al veterinario.</t>
  </si>
  <si>
    <t>El perro vive en mi casa.</t>
  </si>
  <si>
    <t>El gato vive en mi casa.</t>
  </si>
  <si>
    <t>El conejo vive en una jaula en el patio.</t>
  </si>
  <si>
    <t>Le compré comida especial al perro.</t>
  </si>
  <si>
    <t>Le compré comida especial al gato.</t>
  </si>
  <si>
    <t>Le compré comida especial al conejo.</t>
  </si>
  <si>
    <t>El perro ladra cuando llega una visita.</t>
  </si>
  <si>
    <t>El gato maúlla cuando tiene hambre.</t>
  </si>
  <si>
    <t>El conejo es un animal muy silencioso.</t>
  </si>
  <si>
    <t>Saco a pasear al perro con correa todos los días.</t>
  </si>
  <si>
    <t>El gato se trepa a los muebles y araña el sofá.</t>
  </si>
  <si>
    <t>El conejo salta dentro de su jaula.</t>
  </si>
  <si>
    <t>Mi perro mueve la cola cuando me ve llegar.</t>
  </si>
  <si>
    <t>Mi gato ronronea cuando lo acaricio.</t>
  </si>
  <si>
    <t>Mi conejo come zanahoria todas las tardes.</t>
  </si>
  <si>
    <t>El perro y el gato duermen juntos en el sillón.</t>
  </si>
  <si>
    <t>El conejo tiene las orejas muy largas.</t>
  </si>
  <si>
    <t>Tanto el perro como el gato y el conejo necesitan agua fresca todos los días.</t>
  </si>
  <si>
    <t>El auto necesita gasolina para funcionar.</t>
  </si>
  <si>
    <t>Guardo el auto en la casa.</t>
  </si>
  <si>
    <t>Mi papá maneja el auto todos los días.</t>
  </si>
  <si>
    <t>El auto tiene cuatro ruedas nuevas.</t>
  </si>
  <si>
    <t>El motor del auto falló esta mañana.</t>
  </si>
  <si>
    <t>Estaciono el auto en el garaje todas las noches.</t>
  </si>
  <si>
    <t>mascota</t>
  </si>
  <si>
    <t>veterinario</t>
  </si>
  <si>
    <t>comida</t>
  </si>
  <si>
    <t>agua</t>
  </si>
  <si>
    <t>casa</t>
  </si>
  <si>
    <t>ladra</t>
  </si>
  <si>
    <t>correa</t>
  </si>
  <si>
    <t>cola</t>
  </si>
  <si>
    <t>maúlla</t>
  </si>
  <si>
    <t>araña</t>
  </si>
  <si>
    <t>ronronea</t>
  </si>
  <si>
    <t>jaula</t>
  </si>
  <si>
    <t>salta</t>
  </si>
  <si>
    <t>zanahoria</t>
  </si>
  <si>
    <t>orejas</t>
  </si>
  <si>
    <t>gasolina</t>
  </si>
  <si>
    <t>maneja</t>
  </si>
  <si>
    <t>ruedas</t>
  </si>
  <si>
    <t>motor</t>
  </si>
  <si>
    <t>garaje</t>
  </si>
  <si>
    <t>Misma fórmula que en la Hoja 1: similitud(A, B) = (A · B) / (|A| × |B|) — revisa esa hoja para la explicación completa de cada parte.</t>
  </si>
  <si>
    <t>Matriz de similitud (coseno), calculada desde el corpus</t>
  </si>
  <si>
    <t>Compara esto con la Hoja 1: acá "auto" sale prácticamente sin relación con los tres animales (similitud ~0,14 con perro y gato, 0,00 con conejo) — justo lo que esperaríamos. La coocurrencia no se deja engañar por coincidencias accidentales, a diferencia de los rasgos elegidos a mano.</t>
  </si>
  <si>
    <t>Qué se podría mejorar de este modelo de juguete</t>
  </si>
  <si>
    <t>Este Excel sirve para construir la intuición, pero no es un modelo de embeddings real. Esta tabla resume, punto por punto, qué se simplificó acá y cómo lo resuelven los modelos de verdad — los mismos que usan ChatGPT, Gemini y Claude.</t>
  </si>
  <si>
    <t>Limitación de este Excel</t>
  </si>
  <si>
    <t>Cómo lo resuelven los modelos reales</t>
  </si>
  <si>
    <t>Solo 6 a 20 dimensiones, elegidas o contadas a mano.</t>
  </si>
  <si>
    <t>Cientos o miles de dimensiones, ajustadas automáticamente durante el entrenamiento — nadie las elige a mano.</t>
  </si>
  <si>
    <t>Un corpus de apenas 30 oraciones.</t>
  </si>
  <si>
    <t>Se entrenan con miles de millones de oraciones: toda la web, libros, código, etc.</t>
  </si>
  <si>
    <t>Cuenta solo si dos palabras aparecen en la misma oración (todo o nada).</t>
  </si>
  <si>
    <t>Usan una ventana de palabras cercanas y aprenden los pesos con una red neuronal, en vez de solo contar coincidencias.</t>
  </si>
  <si>
    <t>Una palabra muy frecuente (como "agua") pesa igual que una muy distintiva (como "zanahoria").</t>
  </si>
  <si>
    <t>Técnicas como TF-IDF, o el propio entrenamiento, bajan el peso de palabras genéricas y suben el de las que realmente ayudan a distinguir el significado.</t>
  </si>
  <si>
    <t>Cada palabra tiene un único vector fijo, sin importar la oración.</t>
  </si>
  <si>
    <t>Un Transformer genera un vector distinto para la misma palabra según el contexto (gracias a la atención): "banco" en una oración financiera y "banco" como asiento de plaza terminan con vectores distintos.</t>
  </si>
  <si>
    <t>El "entrenamiento" es contar una sola vez, sin ajuste posterior.</t>
  </si>
  <si>
    <t>Los vectores se ajustan millones de veces con descenso de gradiente, optimizando qué tan bien predicen el contexto real.</t>
  </si>
  <si>
    <t>«Jaguar» es un felino y también una marca de autos. Si el modelo aprende un único vector para «jaguar», ese vector queda a medio camino entre los dos significados. Aquí lo simulamos como el promedio de «gato» y «auto».</t>
  </si>
  <si>
    <t>Origen</t>
  </si>
  <si>
    <t>Hoja 1</t>
  </si>
  <si>
    <t>jaguar</t>
  </si>
  <si>
    <t>Promedio de gato y auto</t>
  </si>
  <si>
    <t>¿A quién se parece «jaguar» sin contexto? (similitud coseno, misma fórmula de la Hoja 1)</t>
  </si>
  <si>
    <t>Se parece casi igual a «gato» (0,83) que a «auto» (0,90). Con un solo vector, el modelo no puede saber de cuál «jaguar» le están hablando.</t>
  </si>
  <si>
    <t>La pregunta: ¿puede el contexto decidir de qué «jaguar» hablamos?</t>
  </si>
  <si>
    <t>Una persona resuelve la ambigüedad mirando las palabras de alrededor. La atención hace lo mismo con números: antes de decidir qué significa «jaguar», mezcla su vector con el de las otras palabras de la oración. Si al lado aparece «auto», el vector de jaguar debería correrse hacia auto; si aparece «gato», hacia gato. Para probarlo usamos dos oraciones con la misma palabra y distinto sentido:</t>
  </si>
  <si>
    <t>Qué debería pasar</t>
  </si>
  <si>
    <t>A</t>
  </si>
  <si>
    <t>Mi vecino se compró un jaguar: es un auto rapidísimo.</t>
  </si>
  <si>
    <t>«jaguar» se acerca a «auto» (hoja 6)</t>
  </si>
  <si>
    <t>B</t>
  </si>
  <si>
    <t>El jaguar es un felino pariente del gato, y caza conejos.</t>
  </si>
  <si>
    <t>«jaguar» se acerca a «gato» (hoja 7)</t>
  </si>
  <si>
    <t>Un parámetro: la escala (nitidez)</t>
  </si>
  <si>
    <t>Segunda pregunta: ¿cuánto debe dejarse influir «jaguar» por sus vecinas? En la hoja 6 cada palabra recibe un puntaje según cuánto se parece a jaguar (incluida jaguar misma, que se parece 100% a sí misma). La escala multiplica esos puntajes antes de convertirlos en porcentajes: mientras más alta, más se agrandan las diferencias y más atención se lleva la palabra con puntaje más alto.</t>
  </si>
  <si>
    <t>Escala</t>
  </si>
  <si>
    <t>← valor que usan las hojas 6 y 7. Cámbialo y mira cómo se mueve el gráfico de la hoja 8.</t>
  </si>
  <si>
    <t>Ejemplo con la Oración A: cómo se reparte la atención de «jaguar» entre sí misma y «auto»</t>
  </si>
  <si>
    <t>Atención a «jaguar»</t>
  </si>
  <si>
    <t>Atención a «auto»</t>
  </si>
  <si>
    <t>Qué significa</t>
  </si>
  <si>
    <t>Casi parejo: jaguar se mezcla mucho con su vecina, sin importar cuánto se parecen.</t>
  </si>
  <si>
    <t>El valor que usamos: jaguar conserva su significado pero el contexto lo mueve de forma visible.</t>
  </si>
  <si>
    <t>Jaguar casi solo se mira a sí misma: el contexto pesa poco y la ambigüedad vuelve.</t>
  </si>
  <si>
    <t>Idea para llevarse: muy baja, todo se vuelve un promedio sin forma; muy alta, la palabra ignora su contexto. Es el mismo dilema de la temperatura de la clase 1.</t>
  </si>
  <si>
    <t>Palabra a reinterpretar</t>
  </si>
  <si>
    <t>Tamaño</t>
  </si>
  <si>
    <t>Hace ruido</t>
  </si>
  <si>
    <t>Necesita paseos</t>
  </si>
  <si>
    <t>Vive en jaula</t>
  </si>
  <si>
    <t>Independencia</t>
  </si>
  <si>
    <t>Cariñoso</t>
  </si>
  <si>
    <t>Vector original</t>
  </si>
  <si>
    <t>Palabra de la oración</t>
  </si>
  <si>
    <t>① Puntaje
(coseno con «jaguar»)</t>
  </si>
  <si>
    <t>② ① × escala</t>
  </si>
  <si>
    <t>③ exp(②)</t>
  </si>
  <si>
    <t>④ Peso de atención
(③ / total)</t>
  </si>
  <si>
    <t>⑤ Aporte
Tamaño</t>
  </si>
  <si>
    <t>⑤ Aporte
Hace ruido</t>
  </si>
  <si>
    <t>⑤ Aporte
Necesita paseos</t>
  </si>
  <si>
    <t>⑤ Aporte
Vive en jaula</t>
  </si>
  <si>
    <t>⑤ Aporte
Independencia</t>
  </si>
  <si>
    <t>⑤ Aporte
Cariñoso</t>
  </si>
  <si>
    <t>Total</t>
  </si>
  <si>
    <t>Nuevo vector de «jaguar»</t>
  </si>
  <si>
    <t>← suma de los aportes ⑤: un promedio ponderado de los vectores de la oración.</t>
  </si>
  <si>
    <t>Cambio</t>
  </si>
  <si>
    <t>¿Se cumple? «jaguar» debería acercarse a «auto» y alejarse de «gato»</t>
  </si>
  <si>
    <t>Similitud con «auto»</t>
  </si>
  <si>
    <t>Similitud con «gato»</t>
  </si>
  <si>
    <t>Diferencia
(auto − gato)</t>
  </si>
  <si>
    <t>Antes (sin contexto, hoja 5)</t>
  </si>
  <si>
    <t>Después de la atención</t>
  </si>
  <si>
    <t>Antes, la diferencia entre ambas similitudes era pequeña: el modelo no distinguía. Mientras más grande la diferencia después de la atención, más claro quedó el significado.</t>
  </si>
  <si>
    <t>¿Se cumple? «jaguar» debería acercarse a «gato» y alejarse de «auto»</t>
  </si>
  <si>
    <t>Diferencia
(gato − auto)</t>
  </si>
  <si>
    <t>El mismo «jaguar», dos significados</t>
  </si>
  <si>
    <t>Similitud coseno, igual que en las hojas 1 y 3: 1 = misma dirección, 0 = nada en común.</t>
  </si>
  <si>
    <t>Vector</t>
  </si>
  <si>
    <t>jaguar sin contexto</t>
  </si>
  <si>
    <t>jaguar en Oración A (auto)</t>
  </si>
  <si>
    <t>jaguar en Oración B (felino)</t>
  </si>
  <si>
    <t>Lectura: sin contexto, «jaguar» está a mitad de camino. Después de la atención, en la Oración A se acerca a «auto» y en la B se acerca a «gato». Es el mismo mecanismo; lo único que cambió fueron las palabras vecinas.</t>
  </si>
  <si>
    <r>
      <rPr>
        <b/>
        <sz val="14"/>
        <color rgb="FFC00000"/>
        <rFont val="Calibri Light"/>
        <family val="2"/>
      </rPr>
      <t>Opcion B |</t>
    </r>
    <r>
      <rPr>
        <b/>
        <sz val="14"/>
        <rFont val="Calibri Light"/>
        <family val="2"/>
      </rPr>
      <t xml:space="preserve"> El vector de cada palabra = cuántas veces aparece junto a cada palabra de contexto</t>
    </r>
  </si>
  <si>
    <r>
      <rPr>
        <b/>
        <sz val="14"/>
        <color rgb="FFC00000"/>
        <rFont val="Calibri Light"/>
        <family val="2"/>
      </rPr>
      <t>Opción C |</t>
    </r>
    <r>
      <rPr>
        <b/>
        <sz val="14"/>
        <rFont val="Calibri Light"/>
        <family val="2"/>
      </rPr>
      <t xml:space="preserve"> problema: una palabra, un solo vector</t>
    </r>
  </si>
  <si>
    <r>
      <rPr>
        <b/>
        <sz val="14"/>
        <color rgb="FFC00000"/>
        <rFont val="Calibri Light"/>
        <family val="2"/>
      </rPr>
      <t>Atención · Oración A:</t>
    </r>
    <r>
      <rPr>
        <b/>
        <sz val="14"/>
        <rFont val="Calibri Light"/>
        <family val="2"/>
      </rPr>
      <t xml:space="preserve"> "Mi vecino se compró un jaguar: es un auto rapidísimo"</t>
    </r>
  </si>
  <si>
    <r>
      <t xml:space="preserve">Solo dejamos las palabras que tienen vector en la hoja 5. </t>
    </r>
    <r>
      <rPr>
        <b/>
        <sz val="11"/>
        <color theme="1"/>
        <rFont val="Arial"/>
        <family val="2"/>
      </rPr>
      <t>La pregunta: ¿cómo cambia el vector de «jaguar» después de mirar a las demás?</t>
    </r>
  </si>
  <si>
    <t>Conslusión</t>
  </si>
  <si>
    <r>
      <rPr>
        <b/>
        <sz val="14"/>
        <color rgb="FFC00000"/>
        <rFont val="Calibri Light"/>
        <family val="2"/>
      </rPr>
      <t>Atención · Oración B:</t>
    </r>
    <r>
      <rPr>
        <b/>
        <sz val="14"/>
        <rFont val="Calibri Light"/>
        <family val="2"/>
      </rPr>
      <t xml:space="preserve">  El jaguar es un felino pariente del gato, y caza conejos"</t>
    </r>
  </si>
  <si>
    <r>
      <rPr>
        <b/>
        <sz val="14"/>
        <color rgb="FFC00000"/>
        <rFont val="Calibri Light"/>
        <family val="2"/>
      </rPr>
      <t>Corpus:</t>
    </r>
    <r>
      <rPr>
        <b/>
        <sz val="14"/>
        <rFont val="Calibri Light"/>
        <family val="2"/>
      </rPr>
      <t xml:space="preserve"> oraciones de ejemplo (hacen de "datos de entrenamiento")</t>
    </r>
  </si>
  <si>
    <r>
      <rPr>
        <b/>
        <sz val="14"/>
        <color rgb="FFC00000"/>
        <rFont val="Calibri Light"/>
        <family val="2"/>
      </rPr>
      <t>Opción A |</t>
    </r>
    <r>
      <rPr>
        <b/>
        <sz val="14"/>
        <color rgb="FFFF0000"/>
        <rFont val="Calibri Light"/>
        <family val="2"/>
      </rPr>
      <t xml:space="preserve"> </t>
    </r>
    <r>
      <rPr>
        <b/>
        <sz val="14"/>
        <rFont val="Calibri Light"/>
        <family val="2"/>
      </rPr>
      <t>Rasgos elegidos a mano (rápido, pero subjetivo)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</si>
</sst>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
    <numFmt numFmtId="167" formatCode="\+0.00;\-0.00;0.00"/>
  </numFmts>
  <fonts count="29" x14ac:knownFonts="1">
    <font>
      <sz val="11"/>
      <color theme="1"/>
      <name val="Calibri"/>
      <family val="2"/>
      <charset val="1"/>
    </font>
    <font>
      <sz val="11"/>
      <color rgb="FF6B6452"/>
      <name val="Arial"/>
      <family val="2"/>
    </font>
    <font>
      <b/>
      <sz val="11"/>
      <color rgb="FFFFFFFF"/>
      <name val="Arial"/>
      <family val="2"/>
    </font>
    <font>
      <b/>
      <sz val="11"/>
      <name val="Arial"/>
      <family val="2"/>
    </font>
    <font>
      <sz val="11"/>
      <color rgb="FF000000"/>
      <name val="Arial"/>
      <family val="2"/>
    </font>
    <font>
      <b/>
      <sz val="11"/>
      <color rgb="FF0000FF"/>
      <name val="Arial"/>
      <family val="2"/>
    </font>
    <font>
      <sz val="11"/>
      <color rgb="FF000000"/>
      <name val="Arial"/>
      <family val="2"/>
      <charset val="1"/>
    </font>
    <font>
      <i/>
      <sz val="10"/>
      <color rgb="FF6B6452"/>
      <name val="Arial"/>
      <family val="2"/>
      <charset val="1"/>
    </font>
    <font>
      <b/>
      <sz val="11"/>
      <color rgb="FFFFFFFF"/>
      <name val="Arial"/>
      <family val="2"/>
      <charset val="1"/>
    </font>
    <font>
      <b/>
      <sz val="14"/>
      <name val="Calibri Light"/>
      <family val="2"/>
    </font>
    <font>
      <sz val="11"/>
      <color theme="1"/>
      <name val="Calibri Light"/>
      <family val="2"/>
    </font>
    <font>
      <sz val="11"/>
      <color rgb="FF000000"/>
      <name val="Calibri Light"/>
      <family val="2"/>
    </font>
    <font>
      <b/>
      <sz val="11"/>
      <name val="Calibri Light"/>
      <family val="2"/>
    </font>
    <font>
      <i/>
      <sz val="10"/>
      <color rgb="FF6B6452"/>
      <name val="Calibri Light"/>
      <family val="2"/>
    </font>
    <font>
      <b/>
      <sz val="11"/>
      <color rgb="FFFFFFFF"/>
      <name val="Calibri Light"/>
      <family val="2"/>
    </font>
    <font>
      <sz val="14"/>
      <color theme="1"/>
      <name val="Calibri Light"/>
      <family val="2"/>
    </font>
    <font>
      <b/>
      <sz val="14"/>
      <color rgb="FFFFFFFF"/>
      <name val="Calibri Light"/>
      <family val="2"/>
    </font>
    <font>
      <sz val="14"/>
      <color rgb="FF000000"/>
      <name val="Calibri Light"/>
      <family val="2"/>
    </font>
    <font>
      <i/>
      <sz val="14"/>
      <color rgb="FF6B6452"/>
      <name val="Calibri Light"/>
      <family val="2"/>
    </font>
    <font>
      <b/>
      <sz val="14"/>
      <color theme="3"/>
      <name val="Calibri Light"/>
      <family val="2"/>
    </font>
    <font>
      <sz val="14"/>
      <color theme="3"/>
      <name val="Calibri Light"/>
      <family val="2"/>
    </font>
    <font>
      <b/>
      <sz val="14"/>
      <color rgb="FFFF0000"/>
      <name val="Calibri Light"/>
      <family val="2"/>
    </font>
    <font>
      <b/>
      <sz val="14"/>
      <color theme="1"/>
      <name val="Calibri Light"/>
      <family val="2"/>
    </font>
    <font>
      <b/>
      <sz val="14"/>
      <color rgb="FFC00000"/>
      <name val="Calibri Light"/>
      <family val="2"/>
    </font>
    <font>
      <b/>
      <sz val="11"/>
      <color theme="1"/>
      <name val="Calibri Light"/>
      <family val="2"/>
    </font>
    <font>
      <b/>
      <sz val="13"/>
      <color theme="1"/>
      <name val="Calibri Light"/>
      <family val="2"/>
    </font>
    <font>
      <b/>
      <sz val="13"/>
      <color theme="1"/>
      <name val="Arial"/>
      <family val="2"/>
    </font>
    <font>
      <b/>
      <sz val="11"/>
      <color theme="1"/>
      <name val="Arial"/>
      <family val="2"/>
    </font>
    <font>
      <sz val="11"/>
      <color theme="1"/>
      <name val="Arial"/>
      <family val="2"/>
    </font>
  </fonts>
  <fills count="7">
    <fill>
      <patternFill patternType="none"/>
    </fill>
    <fill>
      <patternFill patternType="gray125"/>
    </fill>
    <fill>
      <patternFill patternType="solid">
        <fgColor rgb="FFF4EFE3"/>
        <bgColor rgb="FFFFF2CC"/>
      </patternFill>
    </fill>
    <fill>
      <patternFill patternType="solid">
        <fgColor rgb="FFFFF2CC"/>
        <bgColor rgb="FFF4EFE3"/>
      </patternFill>
    </fill>
    <fill>
      <patternFill patternType="solid">
        <fgColor rgb="FFE2EFDA"/>
        <bgColor rgb="FFF4EFE3"/>
      </patternFill>
    </fill>
    <fill>
      <patternFill patternType="solid">
        <fgColor rgb="FF002060"/>
        <bgColor rgb="FF2E75B6"/>
      </patternFill>
    </fill>
    <fill>
      <patternFill patternType="solid">
        <fgColor rgb="FF00206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6C9A0"/>
      </left>
      <right style="thin">
        <color rgb="FFD6C9A0"/>
      </right>
      <top style="thin">
        <color rgb="FFD6C9A0"/>
      </top>
      <bottom style="thin">
        <color rgb="FFD6C9A0"/>
      </bottom>
      <diagonal/>
    </border>
  </borders>
  <cellStyleXfs count="1">
    <xf numFmtId="0" fontId="0" fillId="0" borderId="0"/>
  </cellStyleXfs>
  <cellXfs count="84">
    <xf numFmtId="0" fontId="0" fillId="0" borderId="0" xfId="0"/>
    <xf numFmtId="0" fontId="4" fillId="0" borderId="1" xfId="0" applyFont="1" applyBorder="1"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left" vertical="top" wrapText="1"/>
    </xf>
    <xf numFmtId="0" fontId="3" fillId="0" borderId="0" xfId="0" applyFont="1"/>
    <xf numFmtId="0" fontId="6" fillId="0" borderId="0" xfId="0" applyFont="1" applyAlignment="1">
      <alignment vertical="top"/>
    </xf>
    <xf numFmtId="0" fontId="6" fillId="0" borderId="2" xfId="0" applyFont="1" applyBorder="1" applyAlignment="1">
      <alignment vertical="top" wrapText="1"/>
    </xf>
    <xf numFmtId="0" fontId="7" fillId="0" borderId="0" xfId="0" applyFont="1" applyAlignment="1">
      <alignment vertical="top"/>
    </xf>
    <xf numFmtId="0" fontId="1" fillId="0" borderId="0" xfId="0" applyFont="1"/>
    <xf numFmtId="0" fontId="3" fillId="3" borderId="1" xfId="0" applyFont="1" applyFill="1" applyBorder="1"/>
    <xf numFmtId="164" fontId="3" fillId="3" borderId="1" xfId="0" applyNumberFormat="1" applyFont="1" applyFill="1" applyBorder="1" applyAlignment="1">
      <alignment horizontal="center" vertical="center" wrapText="1"/>
    </xf>
    <xf numFmtId="2" fontId="4"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9" fontId="3" fillId="0" borderId="1"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0" fontId="3" fillId="4" borderId="1" xfId="0" applyFont="1" applyFill="1" applyBorder="1"/>
    <xf numFmtId="2" fontId="3" fillId="4" borderId="1" xfId="0" applyNumberFormat="1" applyFont="1" applyFill="1" applyBorder="1" applyAlignment="1">
      <alignment horizontal="center" vertical="center" wrapText="1"/>
    </xf>
    <xf numFmtId="167" fontId="4" fillId="0" borderId="1" xfId="0" applyNumberFormat="1" applyFont="1" applyBorder="1" applyAlignment="1">
      <alignment horizontal="center" vertical="center" wrapText="1"/>
    </xf>
    <xf numFmtId="0" fontId="0" fillId="0" borderId="0" xfId="0" applyAlignment="1">
      <alignment horizontal="left" vertical="top" wrapText="1"/>
    </xf>
    <xf numFmtId="0" fontId="9" fillId="0" borderId="0" xfId="0" applyFont="1"/>
    <xf numFmtId="0" fontId="10" fillId="0" borderId="0" xfId="0" applyFont="1"/>
    <xf numFmtId="0" fontId="11" fillId="0" borderId="0" xfId="0" applyFont="1" applyAlignment="1">
      <alignment vertical="top" wrapText="1"/>
    </xf>
    <xf numFmtId="0" fontId="12" fillId="0" borderId="0" xfId="0" applyFont="1"/>
    <xf numFmtId="0" fontId="13" fillId="0" borderId="0" xfId="0" applyFont="1" applyAlignment="1">
      <alignment vertical="top" wrapText="1"/>
    </xf>
    <xf numFmtId="0" fontId="15" fillId="0" borderId="0" xfId="0" applyFont="1"/>
    <xf numFmtId="0" fontId="17" fillId="0" borderId="0" xfId="0" applyFont="1" applyAlignment="1">
      <alignment horizontal="left" vertical="top" wrapText="1"/>
    </xf>
    <xf numFmtId="0" fontId="18" fillId="0" borderId="0" xfId="0" applyFont="1" applyAlignment="1">
      <alignment vertical="top" wrapText="1"/>
    </xf>
    <xf numFmtId="0" fontId="19" fillId="0" borderId="0" xfId="0" applyFont="1"/>
    <xf numFmtId="0" fontId="20" fillId="0" borderId="0" xfId="0" applyFont="1"/>
    <xf numFmtId="0" fontId="9" fillId="0" borderId="0" xfId="0" applyFont="1" applyAlignment="1">
      <alignment horizontal="left" vertical="center"/>
    </xf>
    <xf numFmtId="0" fontId="15" fillId="0" borderId="0" xfId="0" applyFont="1" applyAlignment="1">
      <alignment horizontal="left" vertical="center"/>
    </xf>
    <xf numFmtId="0" fontId="11" fillId="0" borderId="2" xfId="0" applyFont="1" applyBorder="1" applyAlignment="1">
      <alignment horizontal="center"/>
    </xf>
    <xf numFmtId="0" fontId="11" fillId="0" borderId="2" xfId="0" applyFont="1" applyBorder="1"/>
    <xf numFmtId="0" fontId="14" fillId="5" borderId="2" xfId="0" applyFont="1" applyFill="1" applyBorder="1" applyAlignment="1">
      <alignment horizontal="center" vertical="center"/>
    </xf>
    <xf numFmtId="0" fontId="16" fillId="5" borderId="2" xfId="0" applyFont="1" applyFill="1" applyBorder="1" applyAlignment="1">
      <alignment horizontal="center" vertical="center" wrapText="1"/>
    </xf>
    <xf numFmtId="0" fontId="22" fillId="2" borderId="2" xfId="0" applyFont="1" applyFill="1" applyBorder="1"/>
    <xf numFmtId="0" fontId="15" fillId="0" borderId="2" xfId="0" applyFont="1" applyBorder="1" applyAlignment="1">
      <alignment horizontal="center"/>
    </xf>
    <xf numFmtId="0" fontId="15" fillId="6" borderId="2" xfId="0" applyFont="1" applyFill="1" applyBorder="1" applyAlignment="1">
      <alignment horizontal="center" vertical="center"/>
    </xf>
    <xf numFmtId="0" fontId="16" fillId="5" borderId="2" xfId="0" applyFont="1" applyFill="1" applyBorder="1" applyAlignment="1">
      <alignment horizontal="center" vertical="center"/>
    </xf>
    <xf numFmtId="2" fontId="15" fillId="0" borderId="2" xfId="0" applyNumberFormat="1" applyFont="1" applyBorder="1" applyAlignment="1">
      <alignment horizontal="center"/>
    </xf>
    <xf numFmtId="0" fontId="22" fillId="0" borderId="0" xfId="0" applyFont="1"/>
    <xf numFmtId="0" fontId="8" fillId="5" borderId="2"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10" fillId="0" borderId="0" xfId="0" applyFont="1" applyAlignment="1">
      <alignment vertical="center"/>
    </xf>
    <xf numFmtId="0" fontId="13" fillId="0" borderId="0" xfId="0" applyFont="1" applyAlignment="1">
      <alignment vertical="center"/>
    </xf>
    <xf numFmtId="0" fontId="12" fillId="0" borderId="0" xfId="0" applyFont="1" applyAlignment="1">
      <alignment vertical="center"/>
    </xf>
    <xf numFmtId="2" fontId="11" fillId="0" borderId="2" xfId="0" applyNumberFormat="1" applyFont="1" applyBorder="1" applyAlignment="1">
      <alignment vertical="center"/>
    </xf>
    <xf numFmtId="1" fontId="10" fillId="0" borderId="2" xfId="0" applyNumberFormat="1" applyFont="1" applyBorder="1" applyAlignment="1">
      <alignment horizontal="center" vertical="center"/>
    </xf>
    <xf numFmtId="0" fontId="25" fillId="0" borderId="0" xfId="0" applyFont="1" applyAlignment="1">
      <alignment vertical="center"/>
    </xf>
    <xf numFmtId="0" fontId="10" fillId="6" borderId="2" xfId="0" applyFont="1" applyFill="1" applyBorder="1" applyAlignment="1">
      <alignment horizontal="center" vertical="center"/>
    </xf>
    <xf numFmtId="0" fontId="24" fillId="0" borderId="2" xfId="0" applyFont="1" applyFill="1" applyBorder="1" applyAlignment="1">
      <alignment horizontal="center" vertical="center"/>
    </xf>
    <xf numFmtId="0" fontId="2" fillId="5" borderId="1" xfId="0" applyFont="1" applyFill="1" applyBorder="1" applyAlignment="1">
      <alignment horizontal="center" vertical="center" wrapText="1"/>
    </xf>
    <xf numFmtId="0" fontId="26" fillId="0" borderId="0" xfId="0" applyFont="1"/>
    <xf numFmtId="0" fontId="3" fillId="0" borderId="1" xfId="0" applyFont="1" applyFill="1" applyBorder="1"/>
    <xf numFmtId="0" fontId="27" fillId="0" borderId="1" xfId="0" applyFont="1" applyFill="1" applyBorder="1"/>
    <xf numFmtId="164" fontId="28" fillId="0" borderId="1" xfId="0" applyNumberFormat="1" applyFont="1" applyBorder="1" applyAlignment="1">
      <alignment horizontal="center" vertical="center" wrapText="1"/>
    </xf>
    <xf numFmtId="0" fontId="3" fillId="5" borderId="1" xfId="0" applyFont="1" applyFill="1" applyBorder="1"/>
    <xf numFmtId="0" fontId="2" fillId="5"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6" fillId="0" borderId="0" xfId="0" applyFont="1" applyFill="1"/>
    <xf numFmtId="0" fontId="0" fillId="0" borderId="0" xfId="0" applyFont="1"/>
    <xf numFmtId="165" fontId="28" fillId="0" borderId="1" xfId="0" applyNumberFormat="1" applyFont="1" applyBorder="1" applyAlignment="1">
      <alignment horizontal="center" vertical="center" wrapText="1"/>
    </xf>
    <xf numFmtId="166" fontId="27" fillId="0" borderId="1" xfId="0" applyNumberFormat="1" applyFont="1" applyBorder="1" applyAlignment="1">
      <alignment horizontal="center" vertical="center" wrapText="1"/>
    </xf>
    <xf numFmtId="2" fontId="27" fillId="0" borderId="1" xfId="0" applyNumberFormat="1" applyFont="1" applyBorder="1" applyAlignment="1">
      <alignment horizontal="center" vertical="center" wrapText="1"/>
    </xf>
    <xf numFmtId="0" fontId="27" fillId="4" borderId="1" xfId="0" applyFont="1" applyFill="1" applyBorder="1"/>
    <xf numFmtId="2" fontId="27" fillId="4" borderId="1" xfId="0" applyNumberFormat="1" applyFont="1" applyFill="1" applyBorder="1" applyAlignment="1">
      <alignment horizontal="center" vertical="center" wrapText="1"/>
    </xf>
    <xf numFmtId="0" fontId="28" fillId="0" borderId="0" xfId="0" applyFont="1" applyAlignment="1">
      <alignment horizontal="left" vertical="top" wrapText="1"/>
    </xf>
    <xf numFmtId="2" fontId="28" fillId="0" borderId="1" xfId="0" applyNumberFormat="1" applyFont="1" applyBorder="1" applyAlignment="1">
      <alignment horizontal="center" vertical="center" wrapText="1"/>
    </xf>
    <xf numFmtId="167" fontId="28" fillId="0" borderId="1" xfId="0" applyNumberFormat="1" applyFont="1" applyBorder="1" applyAlignment="1">
      <alignment horizontal="center" vertical="center" wrapText="1"/>
    </xf>
    <xf numFmtId="0" fontId="3" fillId="0" borderId="1" xfId="0" applyFont="1" applyFill="1" applyBorder="1" applyAlignment="1">
      <alignment horizontal="left" vertical="center"/>
    </xf>
    <xf numFmtId="0" fontId="3" fillId="0" borderId="0" xfId="0" applyFont="1" applyAlignment="1">
      <alignment horizontal="left" vertical="center" wrapText="1"/>
    </xf>
    <xf numFmtId="0" fontId="27" fillId="3" borderId="1" xfId="0" applyFont="1" applyFill="1" applyBorder="1" applyAlignment="1">
      <alignment horizontal="center" vertical="center" wrapText="1"/>
    </xf>
    <xf numFmtId="0" fontId="0" fillId="6" borderId="0" xfId="0" applyFill="1"/>
    <xf numFmtId="164" fontId="28" fillId="0" borderId="1" xfId="0" applyNumberFormat="1" applyFont="1" applyFill="1" applyBorder="1" applyAlignment="1">
      <alignment horizontal="center" vertical="center" wrapText="1"/>
    </xf>
    <xf numFmtId="165" fontId="28" fillId="0" borderId="1" xfId="0" applyNumberFormat="1" applyFont="1" applyFill="1" applyBorder="1" applyAlignment="1">
      <alignment horizontal="center" vertical="center" wrapText="1"/>
    </xf>
    <xf numFmtId="0" fontId="0" fillId="0" borderId="0" xfId="0" applyFont="1" applyFill="1"/>
    <xf numFmtId="0" fontId="3" fillId="0" borderId="0" xfId="0" applyFont="1" applyAlignment="1">
      <alignment vertical="center" wrapText="1"/>
    </xf>
    <xf numFmtId="0" fontId="3" fillId="0" borderId="0" xfId="0" applyFont="1" applyFill="1" applyBorder="1" applyAlignment="1">
      <alignment horizontal="left" vertical="center"/>
    </xf>
    <xf numFmtId="2" fontId="28" fillId="0" borderId="1" xfId="0" applyNumberFormat="1" applyFont="1" applyFill="1" applyBorder="1" applyAlignment="1">
      <alignment horizontal="center" vertical="center" wrapText="1"/>
    </xf>
    <xf numFmtId="2" fontId="27" fillId="0" borderId="1" xfId="0" applyNumberFormat="1" applyFont="1" applyFill="1" applyBorder="1"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4EFE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D6C9A0"/>
      <rgbColor rgb="FF2E75B6"/>
      <rgbColor rgb="FF33CCCC"/>
      <rgbColor rgb="FF99CC00"/>
      <rgbColor rgb="FFFFCC00"/>
      <rgbColor rgb="FFFF9900"/>
      <rgbColor rgb="FFED7D31"/>
      <rgbColor rgb="FF6B6452"/>
      <rgbColor rgb="FFB3B3B3"/>
      <rgbColor rgb="FF003366"/>
      <rgbColor rgb="FF3E7C6F"/>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title>
      <c:tx>
        <c:rich>
          <a:bodyPr rot="0"/>
          <a:lstStyle/>
          <a:p>
            <a:pPr>
              <a:defRPr sz="1800" b="1" strike="noStrike" spc="-1">
                <a:solidFill>
                  <a:srgbClr val="000000"/>
                </a:solidFill>
                <a:latin typeface="Calibri"/>
              </a:defRPr>
            </a:pPr>
            <a:r>
              <a:rPr lang="es-CL" sz="1800" b="1" strike="noStrike" spc="-1">
                <a:solidFill>
                  <a:srgbClr val="000000"/>
                </a:solidFill>
                <a:latin typeface="Calibri"/>
              </a:rPr>
              <a:t>Plano Tamaño vs. Independencia</a:t>
            </a:r>
          </a:p>
        </c:rich>
      </c:tx>
      <c:overlay val="0"/>
      <c:spPr>
        <a:noFill/>
        <a:ln w="0">
          <a:noFill/>
        </a:ln>
      </c:spPr>
    </c:title>
    <c:autoTitleDeleted val="0"/>
    <c:plotArea>
      <c:layout/>
      <c:scatterChart>
        <c:scatterStyle val="lineMarker"/>
        <c:varyColors val="0"/>
        <c:ser>
          <c:idx val="0"/>
          <c:order val="0"/>
          <c:tx>
            <c:v>gato</c:v>
          </c:tx>
          <c:spPr>
            <a:ln w="47520">
              <a:noFill/>
            </a:ln>
          </c:spPr>
          <c:marker>
            <c:symbol val="diamond"/>
            <c:size val="12"/>
            <c:spPr>
              <a:solidFill>
                <a:srgbClr val="2E75B6"/>
              </a:solidFill>
            </c:spPr>
          </c:marker>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'8. Comparación'!$B$5</c:f>
              <c:numCache>
                <c:formatCode>0.0</c:formatCode>
                <c:ptCount val="1"/>
                <c:pt idx="0">
                  <c:v>4</c:v>
                </c:pt>
              </c:numCache>
            </c:numRef>
          </c:xVal>
          <c:yVal>
            <c:numRef>
              <c:f>'8. Comparación'!$F$5</c:f>
              <c:numCache>
                <c:formatCode>0.0</c:formatCode>
                <c:ptCount val="1"/>
                <c:pt idx="0">
                  <c:v>8</c:v>
                </c:pt>
              </c:numCache>
            </c:numRef>
          </c:yVal>
          <c:smooth val="1"/>
          <c:extLst>
            <c:ext xmlns:c16="http://schemas.microsoft.com/office/drawing/2014/chart" uri="{C3380CC4-5D6E-409C-BE32-E72D297353CC}">
              <c16:uniqueId val="{00000000-0902-DE41-ACDC-95DFDB3F4E8D}"/>
            </c:ext>
          </c:extLst>
        </c:ser>
        <c:ser>
          <c:idx val="1"/>
          <c:order val="1"/>
          <c:tx>
            <c:v>auto</c:v>
          </c:tx>
          <c:spPr>
            <a:ln w="47520">
              <a:noFill/>
            </a:ln>
          </c:spPr>
          <c:marker>
            <c:symbol val="diamond"/>
            <c:size val="12"/>
            <c:spPr>
              <a:solidFill>
                <a:srgbClr val="C00000"/>
              </a:solidFill>
            </c:spPr>
          </c:marker>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'8. Comparación'!$B$6</c:f>
              <c:numCache>
                <c:formatCode>0.0</c:formatCode>
                <c:ptCount val="1"/>
                <c:pt idx="0">
                  <c:v>10</c:v>
                </c:pt>
              </c:numCache>
            </c:numRef>
          </c:xVal>
          <c:yVal>
            <c:numRef>
              <c:f>'8. Comparación'!$F$6</c:f>
              <c:numCache>
                <c:formatCode>0.0</c:formatCode>
                <c:ptCount val="1"/>
                <c:pt idx="0">
                  <c:v>0</c:v>
                </c:pt>
              </c:numCache>
            </c:numRef>
          </c:yVal>
          <c:smooth val="1"/>
          <c:extLst>
            <c:ext xmlns:c16="http://schemas.microsoft.com/office/drawing/2014/chart" uri="{C3380CC4-5D6E-409C-BE32-E72D297353CC}">
              <c16:uniqueId val="{00000001-0902-DE41-ACDC-95DFDB3F4E8D}"/>
            </c:ext>
          </c:extLst>
        </c:ser>
        <c:ser>
          <c:idx val="2"/>
          <c:order val="2"/>
          <c:tx>
            <c:v>jaguar sin contexto</c:v>
          </c:tx>
          <c:spPr>
            <a:ln w="47520">
              <a:noFill/>
            </a:ln>
          </c:spPr>
          <c:marker>
            <c:symbol val="circle"/>
            <c:size val="12"/>
            <c:spPr>
              <a:solidFill>
                <a:srgbClr val="7F7F7F"/>
              </a:solidFill>
            </c:spPr>
          </c:marker>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'8. Comparación'!$B$7</c:f>
              <c:numCache>
                <c:formatCode>0.0</c:formatCode>
                <c:ptCount val="1"/>
                <c:pt idx="0">
                  <c:v>7</c:v>
                </c:pt>
              </c:numCache>
            </c:numRef>
          </c:xVal>
          <c:yVal>
            <c:numRef>
              <c:f>'8. Comparación'!$F$7</c:f>
              <c:numCache>
                <c:formatCode>0.0</c:formatCode>
                <c:ptCount val="1"/>
                <c:pt idx="0">
                  <c:v>4</c:v>
                </c:pt>
              </c:numCache>
            </c:numRef>
          </c:yVal>
          <c:smooth val="1"/>
          <c:extLst>
            <c:ext xmlns:c16="http://schemas.microsoft.com/office/drawing/2014/chart" uri="{C3380CC4-5D6E-409C-BE32-E72D297353CC}">
              <c16:uniqueId val="{00000002-0902-DE41-ACDC-95DFDB3F4E8D}"/>
            </c:ext>
          </c:extLst>
        </c:ser>
        <c:ser>
          <c:idx val="3"/>
          <c:order val="3"/>
          <c:tx>
            <c:v>jaguar en Oración A (auto)</c:v>
          </c:tx>
          <c:spPr>
            <a:ln w="47520">
              <a:noFill/>
            </a:ln>
          </c:spPr>
          <c:marker>
            <c:symbol val="triangle"/>
            <c:size val="12"/>
            <c:spPr>
              <a:solidFill>
                <a:srgbClr val="ED7D31"/>
              </a:solidFill>
            </c:spPr>
          </c:marker>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'8. Comparación'!$B$8</c:f>
              <c:numCache>
                <c:formatCode>0.0</c:formatCode>
                <c:ptCount val="1"/>
                <c:pt idx="0">
                  <c:v>8.1259337061663111</c:v>
                </c:pt>
              </c:numCache>
            </c:numRef>
          </c:xVal>
          <c:yVal>
            <c:numRef>
              <c:f>'8. Comparación'!$F$8</c:f>
              <c:numCache>
                <c:formatCode>0.0</c:formatCode>
                <c:ptCount val="1"/>
                <c:pt idx="0">
                  <c:v>2.4987550584449183</c:v>
                </c:pt>
              </c:numCache>
            </c:numRef>
          </c:yVal>
          <c:smooth val="1"/>
          <c:extLst>
            <c:ext xmlns:c16="http://schemas.microsoft.com/office/drawing/2014/chart" uri="{C3380CC4-5D6E-409C-BE32-E72D297353CC}">
              <c16:uniqueId val="{00000003-0902-DE41-ACDC-95DFDB3F4E8D}"/>
            </c:ext>
          </c:extLst>
        </c:ser>
        <c:ser>
          <c:idx val="4"/>
          <c:order val="4"/>
          <c:tx>
            <c:v>jaguar en Oración B (felino)</c:v>
          </c:tx>
          <c:spPr>
            <a:ln w="47520">
              <a:noFill/>
            </a:ln>
          </c:spPr>
          <c:marker>
            <c:symbol val="triangle"/>
            <c:size val="12"/>
            <c:spPr>
              <a:solidFill>
                <a:srgbClr val="3E7C6F"/>
              </a:solidFill>
            </c:spPr>
          </c:marker>
          <c:dLbls>
            <c:spPr>
              <a:noFill/>
              <a:ln>
                <a:noFill/>
              </a:ln>
              <a:effectLst/>
            </c:spPr>
            <c:txPr>
              <a:bodyPr wrap="none"/>
              <a:lstStyle/>
              <a:p>
                <a:pPr>
                  <a:defRPr sz="1000" b="0" strike="noStrike" spc="-1">
                    <a:latin typeface="Arial"/>
                  </a:defRPr>
                </a:pPr>
                <a:endParaRPr lang="es-CL"/>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'8. Comparación'!$B$9</c:f>
              <c:numCache>
                <c:formatCode>0.0</c:formatCode>
                <c:ptCount val="1"/>
                <c:pt idx="0">
                  <c:v>5.8999807156520729</c:v>
                </c:pt>
              </c:numCache>
            </c:numRef>
          </c:xVal>
          <c:yVal>
            <c:numRef>
              <c:f>'8. Comparación'!$F$9</c:f>
              <c:numCache>
                <c:formatCode>0.0</c:formatCode>
                <c:ptCount val="1"/>
                <c:pt idx="0">
                  <c:v>5.1950366240469572</c:v>
                </c:pt>
              </c:numCache>
            </c:numRef>
          </c:yVal>
          <c:smooth val="1"/>
          <c:extLst>
            <c:ext xmlns:c16="http://schemas.microsoft.com/office/drawing/2014/chart" uri="{C3380CC4-5D6E-409C-BE32-E72D297353CC}">
              <c16:uniqueId val="{00000004-0902-DE41-ACDC-95DFDB3F4E8D}"/>
            </c:ext>
          </c:extLst>
        </c:ser>
        <c:dLbls>
          <c:showLegendKey val="0"/>
          <c:showVal val="0"/>
          <c:showCatName val="0"/>
          <c:showSerName val="0"/>
          <c:showPercent val="0"/>
          <c:showBubbleSize val="0"/>
        </c:dLbls>
        <c:axId val="6990148"/>
        <c:axId val="12185121"/>
      </c:scatterChart>
      <c:valAx>
        <c:axId val="6990148"/>
        <c:scaling>
          <c:orientation val="minMax"/>
          <c:max val="10"/>
          <c:min val="0"/>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lang="es-CL" sz="1000" b="1" strike="noStrike" spc="-1">
                    <a:solidFill>
                      <a:srgbClr val="000000"/>
                    </a:solidFill>
                    <a:latin typeface="Calibri"/>
                  </a:rPr>
                  <a:t>Tamaño</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CL"/>
          </a:p>
        </c:txPr>
        <c:crossAx val="12185121"/>
        <c:crosses val="autoZero"/>
        <c:crossBetween val="midCat"/>
      </c:valAx>
      <c:valAx>
        <c:axId val="12185121"/>
        <c:scaling>
          <c:orientation val="minMax"/>
          <c:max val="10"/>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s-CL" sz="1000" b="1" strike="noStrike" spc="-1">
                    <a:solidFill>
                      <a:srgbClr val="000000"/>
                    </a:solidFill>
                    <a:latin typeface="Calibri"/>
                  </a:rPr>
                  <a:t>Independencia</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CL"/>
          </a:p>
        </c:txPr>
        <c:crossAx val="6990148"/>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CL"/>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190440</xdr:colOff>
      <xdr:row>22</xdr:row>
      <xdr:rowOff>18360</xdr:rowOff>
    </xdr:from>
    <xdr:to>
      <xdr:col>4</xdr:col>
      <xdr:colOff>560160</xdr:colOff>
      <xdr:row>37</xdr:row>
      <xdr:rowOff>217431</xdr:rowOff>
    </xdr:to>
    <xdr:pic>
      <xdr:nvPicPr>
        <xdr:cNvPr id="2" name="Imagen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90440" y="5085720"/>
          <a:ext cx="7230240" cy="3872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xdr:row>
      <xdr:rowOff>160560</xdr:rowOff>
    </xdr:from>
    <xdr:to>
      <xdr:col>4</xdr:col>
      <xdr:colOff>615520</xdr:colOff>
      <xdr:row>30</xdr:row>
      <xdr:rowOff>140761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zoomScale="150" zoomScaleNormal="150" workbookViewId="0">
      <pane ySplit="1" topLeftCell="A2" activePane="bottomLeft" state="frozen"/>
      <selection pane="bottomLeft" activeCell="D6" sqref="D6"/>
    </sheetView>
  </sheetViews>
  <sheetFormatPr baseColWidth="10" defaultColWidth="8.6640625" defaultRowHeight="15" x14ac:dyDescent="0.2"/>
  <cols>
    <col min="1" max="1" width="100" style="23" customWidth="1"/>
    <col min="2" max="16384" width="8.6640625" style="23"/>
  </cols>
  <sheetData>
    <row r="1" spans="1:3" s="27" customFormat="1" ht="40" customHeight="1" x14ac:dyDescent="0.25">
      <c r="A1" s="32" t="s">
        <v>1</v>
      </c>
      <c r="B1" s="33"/>
      <c r="C1" s="33"/>
    </row>
    <row r="3" spans="1:3" ht="54.75" customHeight="1" x14ac:dyDescent="0.2">
      <c r="A3" s="24" t="s">
        <v>2</v>
      </c>
    </row>
    <row r="5" spans="1:3" x14ac:dyDescent="0.2">
      <c r="A5" s="25" t="s">
        <v>3</v>
      </c>
    </row>
    <row r="6" spans="1:3" ht="39.75" customHeight="1" x14ac:dyDescent="0.2">
      <c r="A6" s="24" t="s">
        <v>4</v>
      </c>
    </row>
    <row r="8" spans="1:3" x14ac:dyDescent="0.2">
      <c r="A8" s="25" t="s">
        <v>5</v>
      </c>
    </row>
    <row r="9" spans="1:3" ht="39.75" customHeight="1" x14ac:dyDescent="0.2">
      <c r="A9" s="24" t="s">
        <v>6</v>
      </c>
    </row>
    <row r="11" spans="1:3" x14ac:dyDescent="0.2">
      <c r="A11" s="25" t="s">
        <v>7</v>
      </c>
    </row>
    <row r="12" spans="1:3" ht="39.75" customHeight="1" x14ac:dyDescent="0.2">
      <c r="A12" s="24" t="s">
        <v>8</v>
      </c>
    </row>
    <row r="14" spans="1:3" x14ac:dyDescent="0.2">
      <c r="A14" s="25" t="s">
        <v>9</v>
      </c>
    </row>
    <row r="15" spans="1:3" ht="39.75" customHeight="1" x14ac:dyDescent="0.2">
      <c r="A15" s="24" t="s">
        <v>10</v>
      </c>
    </row>
    <row r="17" spans="1:1" ht="39.75" customHeight="1" x14ac:dyDescent="0.2">
      <c r="A17" s="26"/>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showGridLines="0" zoomScale="140" zoomScaleNormal="140" workbookViewId="0">
      <pane ySplit="1" topLeftCell="A2" activePane="bottomLeft" state="frozen"/>
      <selection pane="bottomLeft" sqref="A1:XFD1"/>
    </sheetView>
  </sheetViews>
  <sheetFormatPr baseColWidth="10" defaultColWidth="24.33203125" defaultRowHeight="19" x14ac:dyDescent="0.25"/>
  <cols>
    <col min="1" max="16384" width="24.33203125" style="27"/>
  </cols>
  <sheetData>
    <row r="1" spans="1:7" ht="40" customHeight="1" x14ac:dyDescent="0.25">
      <c r="A1" s="32" t="s">
        <v>173</v>
      </c>
      <c r="B1" s="33"/>
      <c r="C1" s="33"/>
    </row>
    <row r="3" spans="1:7" ht="30" customHeight="1" x14ac:dyDescent="0.25">
      <c r="A3" s="37" t="s">
        <v>11</v>
      </c>
      <c r="B3" s="37" t="s">
        <v>12</v>
      </c>
      <c r="C3" s="37" t="s">
        <v>13</v>
      </c>
      <c r="D3" s="37" t="s">
        <v>14</v>
      </c>
      <c r="E3" s="37" t="s">
        <v>15</v>
      </c>
      <c r="F3" s="37" t="s">
        <v>16</v>
      </c>
      <c r="G3" s="37" t="s">
        <v>17</v>
      </c>
    </row>
    <row r="4" spans="1:7" x14ac:dyDescent="0.25">
      <c r="A4" s="38" t="s">
        <v>18</v>
      </c>
      <c r="B4" s="39">
        <v>7</v>
      </c>
      <c r="C4" s="39">
        <v>8</v>
      </c>
      <c r="D4" s="39">
        <v>9</v>
      </c>
      <c r="E4" s="39">
        <v>1</v>
      </c>
      <c r="F4" s="39">
        <v>3</v>
      </c>
      <c r="G4" s="39">
        <v>9</v>
      </c>
    </row>
    <row r="5" spans="1:7" x14ac:dyDescent="0.25">
      <c r="A5" s="38" t="s">
        <v>19</v>
      </c>
      <c r="B5" s="39">
        <v>4</v>
      </c>
      <c r="C5" s="39">
        <v>4</v>
      </c>
      <c r="D5" s="39">
        <v>2</v>
      </c>
      <c r="E5" s="39">
        <v>1</v>
      </c>
      <c r="F5" s="39">
        <v>8</v>
      </c>
      <c r="G5" s="39">
        <v>5</v>
      </c>
    </row>
    <row r="6" spans="1:7" x14ac:dyDescent="0.25">
      <c r="A6" s="38" t="s">
        <v>20</v>
      </c>
      <c r="B6" s="39">
        <v>3</v>
      </c>
      <c r="C6" s="39">
        <v>1</v>
      </c>
      <c r="D6" s="39">
        <v>2</v>
      </c>
      <c r="E6" s="39">
        <v>8</v>
      </c>
      <c r="F6" s="39">
        <v>5</v>
      </c>
      <c r="G6" s="39">
        <v>6</v>
      </c>
    </row>
    <row r="7" spans="1:7" x14ac:dyDescent="0.25">
      <c r="A7" s="38" t="s">
        <v>21</v>
      </c>
      <c r="B7" s="39">
        <v>10</v>
      </c>
      <c r="C7" s="39">
        <v>10</v>
      </c>
      <c r="D7" s="39">
        <v>0</v>
      </c>
      <c r="E7" s="39">
        <v>0</v>
      </c>
      <c r="F7" s="39">
        <v>0</v>
      </c>
      <c r="G7" s="39">
        <v>0</v>
      </c>
    </row>
    <row r="10" spans="1:7" x14ac:dyDescent="0.25">
      <c r="A10" s="22" t="s">
        <v>22</v>
      </c>
    </row>
    <row r="11" spans="1:7" ht="16.5" customHeight="1" x14ac:dyDescent="0.25">
      <c r="A11" s="43" t="s">
        <v>23</v>
      </c>
    </row>
    <row r="12" spans="1:7" ht="62" customHeight="1" x14ac:dyDescent="0.25">
      <c r="A12" s="28" t="s">
        <v>24</v>
      </c>
      <c r="B12" s="28"/>
      <c r="C12" s="28"/>
      <c r="D12" s="28"/>
      <c r="E12" s="28"/>
      <c r="F12" s="28"/>
      <c r="G12" s="28"/>
    </row>
    <row r="13" spans="1:7" ht="43" customHeight="1" x14ac:dyDescent="0.25">
      <c r="A13" s="28" t="s">
        <v>25</v>
      </c>
      <c r="B13" s="28"/>
      <c r="C13" s="28"/>
      <c r="D13" s="28"/>
      <c r="E13" s="28"/>
      <c r="F13" s="28"/>
      <c r="G13" s="28"/>
    </row>
    <row r="15" spans="1:7" x14ac:dyDescent="0.25">
      <c r="A15" s="22" t="s">
        <v>26</v>
      </c>
    </row>
    <row r="16" spans="1:7" x14ac:dyDescent="0.25">
      <c r="A16" s="40"/>
      <c r="B16" s="41" t="s">
        <v>18</v>
      </c>
      <c r="C16" s="41" t="s">
        <v>19</v>
      </c>
      <c r="D16" s="41" t="s">
        <v>20</v>
      </c>
      <c r="E16" s="41" t="s">
        <v>21</v>
      </c>
    </row>
    <row r="17" spans="1:5" x14ac:dyDescent="0.25">
      <c r="A17" s="38" t="s">
        <v>18</v>
      </c>
      <c r="B17" s="42">
        <f>SUMPRODUCT($B$4:$G$4,$B$4:$G$4)/(SQRT(SUMSQ($B$4:$G$4))*SQRT(SUMSQ($B$4:$G$4)))</f>
        <v>0.99999999999999978</v>
      </c>
      <c r="C17" s="42">
        <f>SUMPRODUCT($B$4:$G$4,$B$5:$G$5)/(SQRT(SUMSQ($B$4:$G$4))*SQRT(SUMSQ($B$5:$G$5)))</f>
        <v>0.78100535712894092</v>
      </c>
      <c r="D17" s="42">
        <f>SUMPRODUCT($B$4:$G$4,$B$6:$G$6)/(SQRT(SUMSQ($B$4:$G$4))*SQRT(SUMSQ($B$6:$G$6)))</f>
        <v>0.62300546317328442</v>
      </c>
      <c r="E17" s="42">
        <f>SUMPRODUCT($B$4:$G$4,$B$7:$G$7)/(SQRT(SUMSQ($B$4:$G$4))*SQRT(SUMSQ($B$7:$G$7)))</f>
        <v>0.62828086243754322</v>
      </c>
    </row>
    <row r="18" spans="1:5" x14ac:dyDescent="0.25">
      <c r="A18" s="38" t="s">
        <v>19</v>
      </c>
      <c r="B18" s="42">
        <f>SUMPRODUCT($B$5:$G$5,$B$4:$G$4)/(SQRT(SUMSQ($B$5:$G$5))*SQRT(SUMSQ($B$4:$G$4)))</f>
        <v>0.78100535712894092</v>
      </c>
      <c r="C18" s="42">
        <f>SUMPRODUCT($B$5:$G$5,$B$5:$G$5)/(SQRT(SUMSQ($B$5:$G$5))*SQRT(SUMSQ($B$5:$G$5)))</f>
        <v>1</v>
      </c>
      <c r="D18" s="42">
        <f>SUMPRODUCT($B$5:$G$5,$B$6:$G$6)/(SQRT(SUMSQ($B$5:$G$5))*SQRT(SUMSQ($B$6:$G$6)))</f>
        <v>0.74051422062728756</v>
      </c>
      <c r="E18" s="42">
        <f>SUMPRODUCT($B$5:$G$5,$B$7:$G$7)/(SQRT(SUMSQ($B$5:$G$5))*SQRT(SUMSQ($B$7:$G$7)))</f>
        <v>0.50395263067896967</v>
      </c>
    </row>
    <row r="19" spans="1:5" x14ac:dyDescent="0.25">
      <c r="A19" s="38" t="s">
        <v>20</v>
      </c>
      <c r="B19" s="42">
        <f>SUMPRODUCT($B$6:$G$6,$B$4:$G$4)/(SQRT(SUMSQ($B$6:$G$6))*SQRT(SUMSQ($B$4:$G$4)))</f>
        <v>0.62300546317328442</v>
      </c>
      <c r="C19" s="42">
        <f>SUMPRODUCT($B$6:$G$6,$B$5:$G$5)/(SQRT(SUMSQ($B$6:$G$6))*SQRT(SUMSQ($B$5:$G$5)))</f>
        <v>0.74051422062728756</v>
      </c>
      <c r="D19" s="42">
        <f>SUMPRODUCT($B$6:$G$6,$B$6:$G$6)/(SQRT(SUMSQ($B$6:$G$6))*SQRT(SUMSQ($B$6:$G$6)))</f>
        <v>1.0000000000000002</v>
      </c>
      <c r="E19" s="42">
        <f>SUMPRODUCT($B$6:$G$6,$B$7:$G$7)/(SQRT(SUMSQ($B$6:$G$6))*SQRT(SUMSQ($B$7:$G$7)))</f>
        <v>0.23990405756162689</v>
      </c>
    </row>
    <row r="20" spans="1:5" x14ac:dyDescent="0.25">
      <c r="A20" s="38" t="s">
        <v>21</v>
      </c>
      <c r="B20" s="42">
        <f>SUMPRODUCT($B$7:$G$7,$B$4:$G$4)/(SQRT(SUMSQ($B$7:$G$7))*SQRT(SUMSQ($B$4:$G$4)))</f>
        <v>0.62828086243754322</v>
      </c>
      <c r="C20" s="42">
        <f>SUMPRODUCT($B$7:$G$7,$B$5:$G$5)/(SQRT(SUMSQ($B$7:$G$7))*SQRT(SUMSQ($B$5:$G$5)))</f>
        <v>0.50395263067896967</v>
      </c>
      <c r="D20" s="42">
        <f>SUMPRODUCT($B$7:$G$7,$B$6:$G$6)/(SQRT(SUMSQ($B$7:$G$7))*SQRT(SUMSQ($B$6:$G$6)))</f>
        <v>0.23990405756162689</v>
      </c>
      <c r="E20" s="42">
        <f>SUMPRODUCT($B$7:$G$7,$B$7:$G$7)/(SQRT(SUMSQ($B$7:$G$7))*SQRT(SUMSQ($B$7:$G$7)))</f>
        <v>0.99999999999999989</v>
      </c>
    </row>
    <row r="21" spans="1:5" x14ac:dyDescent="0.25">
      <c r="A21" s="29"/>
    </row>
    <row r="22" spans="1:5" x14ac:dyDescent="0.25">
      <c r="A22" s="30" t="s">
        <v>27</v>
      </c>
      <c r="B22" s="31"/>
    </row>
  </sheetData>
  <mergeCells count="2">
    <mergeCell ref="A12:G12"/>
    <mergeCell ref="A13:G13"/>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3"/>
  <sheetViews>
    <sheetView showGridLines="0" zoomScale="150" zoomScaleNormal="150" workbookViewId="0">
      <pane ySplit="1" topLeftCell="A2" activePane="bottomLeft" state="frozen"/>
      <selection pane="bottomLeft" activeCell="F10" sqref="F10"/>
    </sheetView>
  </sheetViews>
  <sheetFormatPr baseColWidth="10" defaultColWidth="8.6640625" defaultRowHeight="15" x14ac:dyDescent="0.2"/>
  <cols>
    <col min="1" max="1" width="6" style="23" customWidth="1"/>
    <col min="2" max="2" width="70" style="23" customWidth="1"/>
    <col min="3" max="16384" width="8.6640625" style="23"/>
  </cols>
  <sheetData>
    <row r="1" spans="1:3" s="27" customFormat="1" ht="40" customHeight="1" x14ac:dyDescent="0.25">
      <c r="A1" s="32" t="s">
        <v>172</v>
      </c>
      <c r="B1" s="33"/>
      <c r="C1" s="33"/>
    </row>
    <row r="3" spans="1:3" x14ac:dyDescent="0.2">
      <c r="A3" s="36" t="s">
        <v>28</v>
      </c>
      <c r="B3" s="36" t="s">
        <v>29</v>
      </c>
    </row>
    <row r="4" spans="1:3" x14ac:dyDescent="0.2">
      <c r="A4" s="34">
        <v>1</v>
      </c>
      <c r="B4" s="35" t="s">
        <v>30</v>
      </c>
    </row>
    <row r="5" spans="1:3" x14ac:dyDescent="0.2">
      <c r="A5" s="34">
        <v>2</v>
      </c>
      <c r="B5" s="35" t="s">
        <v>31</v>
      </c>
    </row>
    <row r="6" spans="1:3" x14ac:dyDescent="0.2">
      <c r="A6" s="34">
        <v>3</v>
      </c>
      <c r="B6" s="35" t="s">
        <v>32</v>
      </c>
    </row>
    <row r="7" spans="1:3" x14ac:dyDescent="0.2">
      <c r="A7" s="34">
        <v>4</v>
      </c>
      <c r="B7" s="35" t="s">
        <v>33</v>
      </c>
    </row>
    <row r="8" spans="1:3" x14ac:dyDescent="0.2">
      <c r="A8" s="34">
        <v>5</v>
      </c>
      <c r="B8" s="35" t="s">
        <v>34</v>
      </c>
    </row>
    <row r="9" spans="1:3" x14ac:dyDescent="0.2">
      <c r="A9" s="34">
        <v>6</v>
      </c>
      <c r="B9" s="35" t="s">
        <v>35</v>
      </c>
    </row>
    <row r="10" spans="1:3" x14ac:dyDescent="0.2">
      <c r="A10" s="34">
        <v>7</v>
      </c>
      <c r="B10" s="35" t="s">
        <v>36</v>
      </c>
    </row>
    <row r="11" spans="1:3" x14ac:dyDescent="0.2">
      <c r="A11" s="34">
        <v>8</v>
      </c>
      <c r="B11" s="35" t="s">
        <v>37</v>
      </c>
    </row>
    <row r="12" spans="1:3" x14ac:dyDescent="0.2">
      <c r="A12" s="34">
        <v>9</v>
      </c>
      <c r="B12" s="35" t="s">
        <v>38</v>
      </c>
    </row>
    <row r="13" spans="1:3" x14ac:dyDescent="0.2">
      <c r="A13" s="34">
        <v>10</v>
      </c>
      <c r="B13" s="35" t="s">
        <v>39</v>
      </c>
    </row>
    <row r="14" spans="1:3" x14ac:dyDescent="0.2">
      <c r="A14" s="34">
        <v>11</v>
      </c>
      <c r="B14" s="35" t="s">
        <v>40</v>
      </c>
    </row>
    <row r="15" spans="1:3" x14ac:dyDescent="0.2">
      <c r="A15" s="34">
        <v>12</v>
      </c>
      <c r="B15" s="35" t="s">
        <v>41</v>
      </c>
    </row>
    <row r="16" spans="1:3" x14ac:dyDescent="0.2">
      <c r="A16" s="34">
        <v>13</v>
      </c>
      <c r="B16" s="35" t="s">
        <v>42</v>
      </c>
    </row>
    <row r="17" spans="1:2" x14ac:dyDescent="0.2">
      <c r="A17" s="34">
        <v>14</v>
      </c>
      <c r="B17" s="35" t="s">
        <v>43</v>
      </c>
    </row>
    <row r="18" spans="1:2" x14ac:dyDescent="0.2">
      <c r="A18" s="34">
        <v>15</v>
      </c>
      <c r="B18" s="35" t="s">
        <v>44</v>
      </c>
    </row>
    <row r="19" spans="1:2" x14ac:dyDescent="0.2">
      <c r="A19" s="34">
        <v>16</v>
      </c>
      <c r="B19" s="35" t="s">
        <v>45</v>
      </c>
    </row>
    <row r="20" spans="1:2" x14ac:dyDescent="0.2">
      <c r="A20" s="34">
        <v>17</v>
      </c>
      <c r="B20" s="35" t="s">
        <v>46</v>
      </c>
    </row>
    <row r="21" spans="1:2" x14ac:dyDescent="0.2">
      <c r="A21" s="34">
        <v>18</v>
      </c>
      <c r="B21" s="35" t="s">
        <v>47</v>
      </c>
    </row>
    <row r="22" spans="1:2" x14ac:dyDescent="0.2">
      <c r="A22" s="34">
        <v>19</v>
      </c>
      <c r="B22" s="35" t="s">
        <v>48</v>
      </c>
    </row>
    <row r="23" spans="1:2" x14ac:dyDescent="0.2">
      <c r="A23" s="34">
        <v>20</v>
      </c>
      <c r="B23" s="35" t="s">
        <v>49</v>
      </c>
    </row>
    <row r="24" spans="1:2" x14ac:dyDescent="0.2">
      <c r="A24" s="34">
        <v>21</v>
      </c>
      <c r="B24" s="35" t="s">
        <v>50</v>
      </c>
    </row>
    <row r="25" spans="1:2" x14ac:dyDescent="0.2">
      <c r="A25" s="34">
        <v>22</v>
      </c>
      <c r="B25" s="35" t="s">
        <v>51</v>
      </c>
    </row>
    <row r="26" spans="1:2" x14ac:dyDescent="0.2">
      <c r="A26" s="34">
        <v>23</v>
      </c>
      <c r="B26" s="35" t="s">
        <v>52</v>
      </c>
    </row>
    <row r="27" spans="1:2" x14ac:dyDescent="0.2">
      <c r="A27" s="34">
        <v>24</v>
      </c>
      <c r="B27" s="35" t="s">
        <v>53</v>
      </c>
    </row>
    <row r="28" spans="1:2" x14ac:dyDescent="0.2">
      <c r="A28" s="34">
        <v>25</v>
      </c>
      <c r="B28" s="35" t="s">
        <v>54</v>
      </c>
    </row>
    <row r="29" spans="1:2" x14ac:dyDescent="0.2">
      <c r="A29" s="34">
        <v>26</v>
      </c>
      <c r="B29" s="35" t="s">
        <v>55</v>
      </c>
    </row>
    <row r="30" spans="1:2" x14ac:dyDescent="0.2">
      <c r="A30" s="34">
        <v>27</v>
      </c>
      <c r="B30" s="35" t="s">
        <v>56</v>
      </c>
    </row>
    <row r="31" spans="1:2" x14ac:dyDescent="0.2">
      <c r="A31" s="34">
        <v>28</v>
      </c>
      <c r="B31" s="35" t="s">
        <v>57</v>
      </c>
    </row>
    <row r="32" spans="1:2" x14ac:dyDescent="0.2">
      <c r="A32" s="34">
        <v>29</v>
      </c>
      <c r="B32" s="35" t="s">
        <v>58</v>
      </c>
    </row>
    <row r="33" spans="1:2" x14ac:dyDescent="0.2">
      <c r="A33" s="34">
        <v>30</v>
      </c>
      <c r="B33" s="35" t="s">
        <v>59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8"/>
  <sheetViews>
    <sheetView showGridLines="0" zoomScale="120" zoomScaleNormal="120" workbookViewId="0">
      <pane ySplit="1" topLeftCell="A2" activePane="bottomLeft" state="frozen"/>
      <selection pane="bottomLeft" sqref="A1:XFD1"/>
    </sheetView>
  </sheetViews>
  <sheetFormatPr baseColWidth="10" defaultColWidth="8.6640625" defaultRowHeight="15" x14ac:dyDescent="0.2"/>
  <cols>
    <col min="1" max="1" width="10" style="46" customWidth="1"/>
    <col min="2" max="21" width="12" style="46" customWidth="1"/>
    <col min="22" max="16384" width="8.6640625" style="46"/>
  </cols>
  <sheetData>
    <row r="1" spans="1:21" s="27" customFormat="1" ht="40" customHeight="1" x14ac:dyDescent="0.25">
      <c r="A1" s="32" t="s">
        <v>166</v>
      </c>
      <c r="B1" s="33"/>
      <c r="C1" s="33"/>
    </row>
    <row r="3" spans="1:21" ht="33.75" customHeight="1" x14ac:dyDescent="0.2">
      <c r="A3" s="36" t="s">
        <v>11</v>
      </c>
      <c r="B3" s="45" t="s">
        <v>60</v>
      </c>
      <c r="C3" s="45" t="s">
        <v>61</v>
      </c>
      <c r="D3" s="45" t="s">
        <v>62</v>
      </c>
      <c r="E3" s="45" t="s">
        <v>63</v>
      </c>
      <c r="F3" s="45" t="s">
        <v>64</v>
      </c>
      <c r="G3" s="45" t="s">
        <v>65</v>
      </c>
      <c r="H3" s="45" t="s">
        <v>66</v>
      </c>
      <c r="I3" s="45" t="s">
        <v>67</v>
      </c>
      <c r="J3" s="45" t="s">
        <v>68</v>
      </c>
      <c r="K3" s="45" t="s">
        <v>69</v>
      </c>
      <c r="L3" s="45" t="s">
        <v>70</v>
      </c>
      <c r="M3" s="45" t="s">
        <v>71</v>
      </c>
      <c r="N3" s="45" t="s">
        <v>72</v>
      </c>
      <c r="O3" s="45" t="s">
        <v>73</v>
      </c>
      <c r="P3" s="45" t="s">
        <v>74</v>
      </c>
      <c r="Q3" s="45" t="s">
        <v>75</v>
      </c>
      <c r="R3" s="45" t="s">
        <v>76</v>
      </c>
      <c r="S3" s="45" t="s">
        <v>77</v>
      </c>
      <c r="T3" s="45" t="s">
        <v>78</v>
      </c>
      <c r="U3" s="45" t="s">
        <v>79</v>
      </c>
    </row>
    <row r="4" spans="1:21" x14ac:dyDescent="0.2">
      <c r="A4" s="53" t="s">
        <v>18</v>
      </c>
      <c r="B4" s="50">
        <f>SUMPRODUCT(ISNUMBER(SEARCH($A4,'2. Corpus'!$B$4:$B$33))*ISNUMBER(SEARCH(B$3,'2. Corpus'!$B$4:$B$33)))</f>
        <v>1</v>
      </c>
      <c r="C4" s="50">
        <f>SUMPRODUCT(ISNUMBER(SEARCH($A4,'2. Corpus'!$B$4:$B$33))*ISNUMBER(SEARCH(C$3,'2. Corpus'!$B$4:$B$33)))</f>
        <v>1</v>
      </c>
      <c r="D4" s="50">
        <f>SUMPRODUCT(ISNUMBER(SEARCH($A4,'2. Corpus'!$B$4:$B$33))*ISNUMBER(SEARCH(D$3,'2. Corpus'!$B$4:$B$33)))</f>
        <v>1</v>
      </c>
      <c r="E4" s="50">
        <f>SUMPRODUCT(ISNUMBER(SEARCH($A4,'2. Corpus'!$B$4:$B$33))*ISNUMBER(SEARCH(E$3,'2. Corpus'!$B$4:$B$33)))</f>
        <v>1</v>
      </c>
      <c r="F4" s="50">
        <f>SUMPRODUCT(ISNUMBER(SEARCH($A4,'2. Corpus'!$B$4:$B$33))*ISNUMBER(SEARCH(F$3,'2. Corpus'!$B$4:$B$33)))</f>
        <v>1</v>
      </c>
      <c r="G4" s="50">
        <f>SUMPRODUCT(ISNUMBER(SEARCH($A4,'2. Corpus'!$B$4:$B$33))*ISNUMBER(SEARCH(G$3,'2. Corpus'!$B$4:$B$33)))</f>
        <v>1</v>
      </c>
      <c r="H4" s="50">
        <f>SUMPRODUCT(ISNUMBER(SEARCH($A4,'2. Corpus'!$B$4:$B$33))*ISNUMBER(SEARCH(H$3,'2. Corpus'!$B$4:$B$33)))</f>
        <v>1</v>
      </c>
      <c r="I4" s="50">
        <f>SUMPRODUCT(ISNUMBER(SEARCH($A4,'2. Corpus'!$B$4:$B$33))*ISNUMBER(SEARCH(I$3,'2. Corpus'!$B$4:$B$33)))</f>
        <v>1</v>
      </c>
      <c r="J4" s="50">
        <f>SUMPRODUCT(ISNUMBER(SEARCH($A4,'2. Corpus'!$B$4:$B$33))*ISNUMBER(SEARCH(J$3,'2. Corpus'!$B$4:$B$33)))</f>
        <v>0</v>
      </c>
      <c r="K4" s="50">
        <f>SUMPRODUCT(ISNUMBER(SEARCH($A4,'2. Corpus'!$B$4:$B$33))*ISNUMBER(SEARCH(K$3,'2. Corpus'!$B$4:$B$33)))</f>
        <v>0</v>
      </c>
      <c r="L4" s="50">
        <f>SUMPRODUCT(ISNUMBER(SEARCH($A4,'2. Corpus'!$B$4:$B$33))*ISNUMBER(SEARCH(L$3,'2. Corpus'!$B$4:$B$33)))</f>
        <v>0</v>
      </c>
      <c r="M4" s="50">
        <f>SUMPRODUCT(ISNUMBER(SEARCH($A4,'2. Corpus'!$B$4:$B$33))*ISNUMBER(SEARCH(M$3,'2. Corpus'!$B$4:$B$33)))</f>
        <v>0</v>
      </c>
      <c r="N4" s="50">
        <f>SUMPRODUCT(ISNUMBER(SEARCH($A4,'2. Corpus'!$B$4:$B$33))*ISNUMBER(SEARCH(N$3,'2. Corpus'!$B$4:$B$33)))</f>
        <v>0</v>
      </c>
      <c r="O4" s="50">
        <f>SUMPRODUCT(ISNUMBER(SEARCH($A4,'2. Corpus'!$B$4:$B$33))*ISNUMBER(SEARCH(O$3,'2. Corpus'!$B$4:$B$33)))</f>
        <v>0</v>
      </c>
      <c r="P4" s="50">
        <f>SUMPRODUCT(ISNUMBER(SEARCH($A4,'2. Corpus'!$B$4:$B$33))*ISNUMBER(SEARCH(P$3,'2. Corpus'!$B$4:$B$33)))</f>
        <v>0</v>
      </c>
      <c r="Q4" s="50">
        <f>SUMPRODUCT(ISNUMBER(SEARCH($A4,'2. Corpus'!$B$4:$B$33))*ISNUMBER(SEARCH(Q$3,'2. Corpus'!$B$4:$B$33)))</f>
        <v>0</v>
      </c>
      <c r="R4" s="50">
        <f>SUMPRODUCT(ISNUMBER(SEARCH($A4,'2. Corpus'!$B$4:$B$33))*ISNUMBER(SEARCH(R$3,'2. Corpus'!$B$4:$B$33)))</f>
        <v>0</v>
      </c>
      <c r="S4" s="50">
        <f>SUMPRODUCT(ISNUMBER(SEARCH($A4,'2. Corpus'!$B$4:$B$33))*ISNUMBER(SEARCH(S$3,'2. Corpus'!$B$4:$B$33)))</f>
        <v>0</v>
      </c>
      <c r="T4" s="50">
        <f>SUMPRODUCT(ISNUMBER(SEARCH($A4,'2. Corpus'!$B$4:$B$33))*ISNUMBER(SEARCH(T$3,'2. Corpus'!$B$4:$B$33)))</f>
        <v>0</v>
      </c>
      <c r="U4" s="50">
        <f>SUMPRODUCT(ISNUMBER(SEARCH($A4,'2. Corpus'!$B$4:$B$33))*ISNUMBER(SEARCH(U$3,'2. Corpus'!$B$4:$B$33)))</f>
        <v>0</v>
      </c>
    </row>
    <row r="5" spans="1:21" x14ac:dyDescent="0.2">
      <c r="A5" s="53" t="s">
        <v>19</v>
      </c>
      <c r="B5" s="50">
        <f>SUMPRODUCT(ISNUMBER(SEARCH($A5,'2. Corpus'!$B$4:$B$33))*ISNUMBER(SEARCH(B$3,'2. Corpus'!$B$4:$B$33)))</f>
        <v>1</v>
      </c>
      <c r="C5" s="50">
        <f>SUMPRODUCT(ISNUMBER(SEARCH($A5,'2. Corpus'!$B$4:$B$33))*ISNUMBER(SEARCH(C$3,'2. Corpus'!$B$4:$B$33)))</f>
        <v>1</v>
      </c>
      <c r="D5" s="50">
        <f>SUMPRODUCT(ISNUMBER(SEARCH($A5,'2. Corpus'!$B$4:$B$33))*ISNUMBER(SEARCH(D$3,'2. Corpus'!$B$4:$B$33)))</f>
        <v>1</v>
      </c>
      <c r="E5" s="50">
        <f>SUMPRODUCT(ISNUMBER(SEARCH($A5,'2. Corpus'!$B$4:$B$33))*ISNUMBER(SEARCH(E$3,'2. Corpus'!$B$4:$B$33)))</f>
        <v>1</v>
      </c>
      <c r="F5" s="50">
        <f>SUMPRODUCT(ISNUMBER(SEARCH($A5,'2. Corpus'!$B$4:$B$33))*ISNUMBER(SEARCH(F$3,'2. Corpus'!$B$4:$B$33)))</f>
        <v>1</v>
      </c>
      <c r="G5" s="50">
        <f>SUMPRODUCT(ISNUMBER(SEARCH($A5,'2. Corpus'!$B$4:$B$33))*ISNUMBER(SEARCH(G$3,'2. Corpus'!$B$4:$B$33)))</f>
        <v>0</v>
      </c>
      <c r="H5" s="50">
        <f>SUMPRODUCT(ISNUMBER(SEARCH($A5,'2. Corpus'!$B$4:$B$33))*ISNUMBER(SEARCH(H$3,'2. Corpus'!$B$4:$B$33)))</f>
        <v>0</v>
      </c>
      <c r="I5" s="50">
        <f>SUMPRODUCT(ISNUMBER(SEARCH($A5,'2. Corpus'!$B$4:$B$33))*ISNUMBER(SEARCH(I$3,'2. Corpus'!$B$4:$B$33)))</f>
        <v>0</v>
      </c>
      <c r="J5" s="50">
        <f>SUMPRODUCT(ISNUMBER(SEARCH($A5,'2. Corpus'!$B$4:$B$33))*ISNUMBER(SEARCH(J$3,'2. Corpus'!$B$4:$B$33)))</f>
        <v>1</v>
      </c>
      <c r="K5" s="50">
        <f>SUMPRODUCT(ISNUMBER(SEARCH($A5,'2. Corpus'!$B$4:$B$33))*ISNUMBER(SEARCH(K$3,'2. Corpus'!$B$4:$B$33)))</f>
        <v>1</v>
      </c>
      <c r="L5" s="50">
        <f>SUMPRODUCT(ISNUMBER(SEARCH($A5,'2. Corpus'!$B$4:$B$33))*ISNUMBER(SEARCH(L$3,'2. Corpus'!$B$4:$B$33)))</f>
        <v>1</v>
      </c>
      <c r="M5" s="50">
        <f>SUMPRODUCT(ISNUMBER(SEARCH($A5,'2. Corpus'!$B$4:$B$33))*ISNUMBER(SEARCH(M$3,'2. Corpus'!$B$4:$B$33)))</f>
        <v>0</v>
      </c>
      <c r="N5" s="50">
        <f>SUMPRODUCT(ISNUMBER(SEARCH($A5,'2. Corpus'!$B$4:$B$33))*ISNUMBER(SEARCH(N$3,'2. Corpus'!$B$4:$B$33)))</f>
        <v>0</v>
      </c>
      <c r="O5" s="50">
        <f>SUMPRODUCT(ISNUMBER(SEARCH($A5,'2. Corpus'!$B$4:$B$33))*ISNUMBER(SEARCH(O$3,'2. Corpus'!$B$4:$B$33)))</f>
        <v>0</v>
      </c>
      <c r="P5" s="50">
        <f>SUMPRODUCT(ISNUMBER(SEARCH($A5,'2. Corpus'!$B$4:$B$33))*ISNUMBER(SEARCH(P$3,'2. Corpus'!$B$4:$B$33)))</f>
        <v>0</v>
      </c>
      <c r="Q5" s="50">
        <f>SUMPRODUCT(ISNUMBER(SEARCH($A5,'2. Corpus'!$B$4:$B$33))*ISNUMBER(SEARCH(Q$3,'2. Corpus'!$B$4:$B$33)))</f>
        <v>0</v>
      </c>
      <c r="R5" s="50">
        <f>SUMPRODUCT(ISNUMBER(SEARCH($A5,'2. Corpus'!$B$4:$B$33))*ISNUMBER(SEARCH(R$3,'2. Corpus'!$B$4:$B$33)))</f>
        <v>0</v>
      </c>
      <c r="S5" s="50">
        <f>SUMPRODUCT(ISNUMBER(SEARCH($A5,'2. Corpus'!$B$4:$B$33))*ISNUMBER(SEARCH(S$3,'2. Corpus'!$B$4:$B$33)))</f>
        <v>0</v>
      </c>
      <c r="T5" s="50">
        <f>SUMPRODUCT(ISNUMBER(SEARCH($A5,'2. Corpus'!$B$4:$B$33))*ISNUMBER(SEARCH(T$3,'2. Corpus'!$B$4:$B$33)))</f>
        <v>0</v>
      </c>
      <c r="U5" s="50">
        <f>SUMPRODUCT(ISNUMBER(SEARCH($A5,'2. Corpus'!$B$4:$B$33))*ISNUMBER(SEARCH(U$3,'2. Corpus'!$B$4:$B$33)))</f>
        <v>0</v>
      </c>
    </row>
    <row r="6" spans="1:21" x14ac:dyDescent="0.2">
      <c r="A6" s="53" t="s">
        <v>20</v>
      </c>
      <c r="B6" s="50">
        <f>SUMPRODUCT(ISNUMBER(SEARCH($A6,'2. Corpus'!$B$4:$B$33))*ISNUMBER(SEARCH(B$3,'2. Corpus'!$B$4:$B$33)))</f>
        <v>1</v>
      </c>
      <c r="C6" s="50">
        <f>SUMPRODUCT(ISNUMBER(SEARCH($A6,'2. Corpus'!$B$4:$B$33))*ISNUMBER(SEARCH(C$3,'2. Corpus'!$B$4:$B$33)))</f>
        <v>1</v>
      </c>
      <c r="D6" s="50">
        <f>SUMPRODUCT(ISNUMBER(SEARCH($A6,'2. Corpus'!$B$4:$B$33))*ISNUMBER(SEARCH(D$3,'2. Corpus'!$B$4:$B$33)))</f>
        <v>1</v>
      </c>
      <c r="E6" s="50">
        <f>SUMPRODUCT(ISNUMBER(SEARCH($A6,'2. Corpus'!$B$4:$B$33))*ISNUMBER(SEARCH(E$3,'2. Corpus'!$B$4:$B$33)))</f>
        <v>1</v>
      </c>
      <c r="F6" s="50">
        <f>SUMPRODUCT(ISNUMBER(SEARCH($A6,'2. Corpus'!$B$4:$B$33))*ISNUMBER(SEARCH(F$3,'2. Corpus'!$B$4:$B$33)))</f>
        <v>0</v>
      </c>
      <c r="G6" s="50">
        <f>SUMPRODUCT(ISNUMBER(SEARCH($A6,'2. Corpus'!$B$4:$B$33))*ISNUMBER(SEARCH(G$3,'2. Corpus'!$B$4:$B$33)))</f>
        <v>0</v>
      </c>
      <c r="H6" s="50">
        <f>SUMPRODUCT(ISNUMBER(SEARCH($A6,'2. Corpus'!$B$4:$B$33))*ISNUMBER(SEARCH(H$3,'2. Corpus'!$B$4:$B$33)))</f>
        <v>0</v>
      </c>
      <c r="I6" s="50">
        <f>SUMPRODUCT(ISNUMBER(SEARCH($A6,'2. Corpus'!$B$4:$B$33))*ISNUMBER(SEARCH(I$3,'2. Corpus'!$B$4:$B$33)))</f>
        <v>0</v>
      </c>
      <c r="J6" s="50">
        <f>SUMPRODUCT(ISNUMBER(SEARCH($A6,'2. Corpus'!$B$4:$B$33))*ISNUMBER(SEARCH(J$3,'2. Corpus'!$B$4:$B$33)))</f>
        <v>0</v>
      </c>
      <c r="K6" s="50">
        <f>SUMPRODUCT(ISNUMBER(SEARCH($A6,'2. Corpus'!$B$4:$B$33))*ISNUMBER(SEARCH(K$3,'2. Corpus'!$B$4:$B$33)))</f>
        <v>0</v>
      </c>
      <c r="L6" s="50">
        <f>SUMPRODUCT(ISNUMBER(SEARCH($A6,'2. Corpus'!$B$4:$B$33))*ISNUMBER(SEARCH(L$3,'2. Corpus'!$B$4:$B$33)))</f>
        <v>0</v>
      </c>
      <c r="M6" s="50">
        <f>SUMPRODUCT(ISNUMBER(SEARCH($A6,'2. Corpus'!$B$4:$B$33))*ISNUMBER(SEARCH(M$3,'2. Corpus'!$B$4:$B$33)))</f>
        <v>2</v>
      </c>
      <c r="N6" s="50">
        <f>SUMPRODUCT(ISNUMBER(SEARCH($A6,'2. Corpus'!$B$4:$B$33))*ISNUMBER(SEARCH(N$3,'2. Corpus'!$B$4:$B$33)))</f>
        <v>1</v>
      </c>
      <c r="O6" s="50">
        <f>SUMPRODUCT(ISNUMBER(SEARCH($A6,'2. Corpus'!$B$4:$B$33))*ISNUMBER(SEARCH(O$3,'2. Corpus'!$B$4:$B$33)))</f>
        <v>1</v>
      </c>
      <c r="P6" s="50">
        <f>SUMPRODUCT(ISNUMBER(SEARCH($A6,'2. Corpus'!$B$4:$B$33))*ISNUMBER(SEARCH(P$3,'2. Corpus'!$B$4:$B$33)))</f>
        <v>1</v>
      </c>
      <c r="Q6" s="50">
        <f>SUMPRODUCT(ISNUMBER(SEARCH($A6,'2. Corpus'!$B$4:$B$33))*ISNUMBER(SEARCH(Q$3,'2. Corpus'!$B$4:$B$33)))</f>
        <v>0</v>
      </c>
      <c r="R6" s="50">
        <f>SUMPRODUCT(ISNUMBER(SEARCH($A6,'2. Corpus'!$B$4:$B$33))*ISNUMBER(SEARCH(R$3,'2. Corpus'!$B$4:$B$33)))</f>
        <v>0</v>
      </c>
      <c r="S6" s="50">
        <f>SUMPRODUCT(ISNUMBER(SEARCH($A6,'2. Corpus'!$B$4:$B$33))*ISNUMBER(SEARCH(S$3,'2. Corpus'!$B$4:$B$33)))</f>
        <v>0</v>
      </c>
      <c r="T6" s="50">
        <f>SUMPRODUCT(ISNUMBER(SEARCH($A6,'2. Corpus'!$B$4:$B$33))*ISNUMBER(SEARCH(T$3,'2. Corpus'!$B$4:$B$33)))</f>
        <v>0</v>
      </c>
      <c r="U6" s="50">
        <f>SUMPRODUCT(ISNUMBER(SEARCH($A6,'2. Corpus'!$B$4:$B$33))*ISNUMBER(SEARCH(U$3,'2. Corpus'!$B$4:$B$33)))</f>
        <v>0</v>
      </c>
    </row>
    <row r="7" spans="1:21" x14ac:dyDescent="0.2">
      <c r="A7" s="53" t="s">
        <v>21</v>
      </c>
      <c r="B7" s="50">
        <f>SUMPRODUCT(ISNUMBER(SEARCH($A7,'2. Corpus'!$B$4:$B$33))*ISNUMBER(SEARCH(B$3,'2. Corpus'!$B$4:$B$33)))</f>
        <v>0</v>
      </c>
      <c r="C7" s="50">
        <f>SUMPRODUCT(ISNUMBER(SEARCH($A7,'2. Corpus'!$B$4:$B$33))*ISNUMBER(SEARCH(C$3,'2. Corpus'!$B$4:$B$33)))</f>
        <v>0</v>
      </c>
      <c r="D7" s="50">
        <f>SUMPRODUCT(ISNUMBER(SEARCH($A7,'2. Corpus'!$B$4:$B$33))*ISNUMBER(SEARCH(D$3,'2. Corpus'!$B$4:$B$33)))</f>
        <v>0</v>
      </c>
      <c r="E7" s="50">
        <f>SUMPRODUCT(ISNUMBER(SEARCH($A7,'2. Corpus'!$B$4:$B$33))*ISNUMBER(SEARCH(E$3,'2. Corpus'!$B$4:$B$33)))</f>
        <v>0</v>
      </c>
      <c r="F7" s="50">
        <f>SUMPRODUCT(ISNUMBER(SEARCH($A7,'2. Corpus'!$B$4:$B$33))*ISNUMBER(SEARCH(F$3,'2. Corpus'!$B$4:$B$33)))</f>
        <v>1</v>
      </c>
      <c r="G7" s="50">
        <f>SUMPRODUCT(ISNUMBER(SEARCH($A7,'2. Corpus'!$B$4:$B$33))*ISNUMBER(SEARCH(G$3,'2. Corpus'!$B$4:$B$33)))</f>
        <v>0</v>
      </c>
      <c r="H7" s="50">
        <f>SUMPRODUCT(ISNUMBER(SEARCH($A7,'2. Corpus'!$B$4:$B$33))*ISNUMBER(SEARCH(H$3,'2. Corpus'!$B$4:$B$33)))</f>
        <v>0</v>
      </c>
      <c r="I7" s="50">
        <f>SUMPRODUCT(ISNUMBER(SEARCH($A7,'2. Corpus'!$B$4:$B$33))*ISNUMBER(SEARCH(I$3,'2. Corpus'!$B$4:$B$33)))</f>
        <v>0</v>
      </c>
      <c r="J7" s="50">
        <f>SUMPRODUCT(ISNUMBER(SEARCH($A7,'2. Corpus'!$B$4:$B$33))*ISNUMBER(SEARCH(J$3,'2. Corpus'!$B$4:$B$33)))</f>
        <v>0</v>
      </c>
      <c r="K7" s="50">
        <f>SUMPRODUCT(ISNUMBER(SEARCH($A7,'2. Corpus'!$B$4:$B$33))*ISNUMBER(SEARCH(K$3,'2. Corpus'!$B$4:$B$33)))</f>
        <v>0</v>
      </c>
      <c r="L7" s="50">
        <f>SUMPRODUCT(ISNUMBER(SEARCH($A7,'2. Corpus'!$B$4:$B$33))*ISNUMBER(SEARCH(L$3,'2. Corpus'!$B$4:$B$33)))</f>
        <v>0</v>
      </c>
      <c r="M7" s="50">
        <f>SUMPRODUCT(ISNUMBER(SEARCH($A7,'2. Corpus'!$B$4:$B$33))*ISNUMBER(SEARCH(M$3,'2. Corpus'!$B$4:$B$33)))</f>
        <v>0</v>
      </c>
      <c r="N7" s="50">
        <f>SUMPRODUCT(ISNUMBER(SEARCH($A7,'2. Corpus'!$B$4:$B$33))*ISNUMBER(SEARCH(N$3,'2. Corpus'!$B$4:$B$33)))</f>
        <v>0</v>
      </c>
      <c r="O7" s="50">
        <f>SUMPRODUCT(ISNUMBER(SEARCH($A7,'2. Corpus'!$B$4:$B$33))*ISNUMBER(SEARCH(O$3,'2. Corpus'!$B$4:$B$33)))</f>
        <v>0</v>
      </c>
      <c r="P7" s="50">
        <f>SUMPRODUCT(ISNUMBER(SEARCH($A7,'2. Corpus'!$B$4:$B$33))*ISNUMBER(SEARCH(P$3,'2. Corpus'!$B$4:$B$33)))</f>
        <v>0</v>
      </c>
      <c r="Q7" s="50">
        <f>SUMPRODUCT(ISNUMBER(SEARCH($A7,'2. Corpus'!$B$4:$B$33))*ISNUMBER(SEARCH(Q$3,'2. Corpus'!$B$4:$B$33)))</f>
        <v>1</v>
      </c>
      <c r="R7" s="50">
        <f>SUMPRODUCT(ISNUMBER(SEARCH($A7,'2. Corpus'!$B$4:$B$33))*ISNUMBER(SEARCH(R$3,'2. Corpus'!$B$4:$B$33)))</f>
        <v>1</v>
      </c>
      <c r="S7" s="50">
        <f>SUMPRODUCT(ISNUMBER(SEARCH($A7,'2. Corpus'!$B$4:$B$33))*ISNUMBER(SEARCH(S$3,'2. Corpus'!$B$4:$B$33)))</f>
        <v>1</v>
      </c>
      <c r="T7" s="50">
        <f>SUMPRODUCT(ISNUMBER(SEARCH($A7,'2. Corpus'!$B$4:$B$33))*ISNUMBER(SEARCH(T$3,'2. Corpus'!$B$4:$B$33)))</f>
        <v>1</v>
      </c>
      <c r="U7" s="50">
        <f>SUMPRODUCT(ISNUMBER(SEARCH($A7,'2. Corpus'!$B$4:$B$33))*ISNUMBER(SEARCH(U$3,'2. Corpus'!$B$4:$B$33)))</f>
        <v>1</v>
      </c>
    </row>
    <row r="10" spans="1:21" ht="30" customHeight="1" x14ac:dyDescent="0.2">
      <c r="A10" s="51" t="s">
        <v>80</v>
      </c>
    </row>
    <row r="11" spans="1:21" x14ac:dyDescent="0.2">
      <c r="A11" s="48" t="s">
        <v>81</v>
      </c>
    </row>
    <row r="12" spans="1:21" x14ac:dyDescent="0.2">
      <c r="A12" s="52"/>
      <c r="B12" s="36" t="s">
        <v>18</v>
      </c>
      <c r="C12" s="36" t="s">
        <v>19</v>
      </c>
      <c r="D12" s="36" t="s">
        <v>20</v>
      </c>
      <c r="E12" s="36" t="s">
        <v>21</v>
      </c>
    </row>
    <row r="13" spans="1:21" x14ac:dyDescent="0.2">
      <c r="A13" s="53" t="s">
        <v>18</v>
      </c>
      <c r="B13" s="49">
        <f>SUMPRODUCT($B$4:$U$4,$B$4:$U$4)/(SQRT(SUMSQ($B$4:$U$4))*SQRT(SUMSQ($B$4:$U$4)))</f>
        <v>0.99999999999999978</v>
      </c>
      <c r="C13" s="49">
        <f>SUMPRODUCT($B$4:$U$4,$B$5:$U$5)/(SQRT(SUMSQ($B$4:$U$4))*SQRT(SUMSQ($B$5:$U$5)))</f>
        <v>0.62499999999999989</v>
      </c>
      <c r="D13" s="49">
        <f>SUMPRODUCT($B$4:$U$4,$B$6:$U$6)/(SQRT(SUMSQ($B$4:$U$4))*SQRT(SUMSQ($B$6:$U$6)))</f>
        <v>0.42640143271122083</v>
      </c>
      <c r="E13" s="49">
        <f>SUMPRODUCT($B$4:$U$4,$B$7:$U$7)/(SQRT(SUMSQ($B$4:$U$4))*SQRT(SUMSQ($B$7:$U$7)))</f>
        <v>0.14433756729740646</v>
      </c>
    </row>
    <row r="14" spans="1:21" x14ac:dyDescent="0.2">
      <c r="A14" s="53" t="s">
        <v>19</v>
      </c>
      <c r="B14" s="49">
        <f>SUMPRODUCT($B$5:$U$5,$B$4:$U$4)/(SQRT(SUMSQ($B$5:$U$5))*SQRT(SUMSQ($B$4:$U$4)))</f>
        <v>0.62499999999999989</v>
      </c>
      <c r="C14" s="49">
        <f>SUMPRODUCT($B$5:$U$5,$B$5:$U$5)/(SQRT(SUMSQ($B$5:$U$5))*SQRT(SUMSQ($B$5:$U$5)))</f>
        <v>0.99999999999999978</v>
      </c>
      <c r="D14" s="49">
        <f>SUMPRODUCT($B$5:$U$5,$B$6:$U$6)/(SQRT(SUMSQ($B$5:$U$5))*SQRT(SUMSQ($B$6:$U$6)))</f>
        <v>0.42640143271122083</v>
      </c>
      <c r="E14" s="49">
        <f>SUMPRODUCT($B$5:$U$5,$B$7:$U$7)/(SQRT(SUMSQ($B$5:$U$5))*SQRT(SUMSQ($B$7:$U$7)))</f>
        <v>0.14433756729740646</v>
      </c>
    </row>
    <row r="15" spans="1:21" x14ac:dyDescent="0.2">
      <c r="A15" s="53" t="s">
        <v>20</v>
      </c>
      <c r="B15" s="49">
        <f>SUMPRODUCT($B$6:$U$6,$B$4:$U$4)/(SQRT(SUMSQ($B$6:$U$6))*SQRT(SUMSQ($B$4:$U$4)))</f>
        <v>0.42640143271122083</v>
      </c>
      <c r="C15" s="49">
        <f>SUMPRODUCT($B$6:$U$6,$B$5:$U$5)/(SQRT(SUMSQ($B$6:$U$6))*SQRT(SUMSQ($B$5:$U$5)))</f>
        <v>0.42640143271122083</v>
      </c>
      <c r="D15" s="49">
        <f>SUMPRODUCT($B$6:$U$6,$B$6:$U$6)/(SQRT(SUMSQ($B$6:$U$6))*SQRT(SUMSQ($B$6:$U$6)))</f>
        <v>1</v>
      </c>
      <c r="E15" s="49">
        <f>SUMPRODUCT($B$6:$U$6,$B$7:$U$7)/(SQRT(SUMSQ($B$6:$U$6))*SQRT(SUMSQ($B$7:$U$7)))</f>
        <v>0</v>
      </c>
    </row>
    <row r="16" spans="1:21" x14ac:dyDescent="0.2">
      <c r="A16" s="53" t="s">
        <v>21</v>
      </c>
      <c r="B16" s="49">
        <f>SUMPRODUCT($B$7:$U$7,$B$4:$U$4)/(SQRT(SUMSQ($B$7:$U$7))*SQRT(SUMSQ($B$4:$U$4)))</f>
        <v>0.14433756729740646</v>
      </c>
      <c r="C16" s="49">
        <f>SUMPRODUCT($B$7:$U$7,$B$5:$U$5)/(SQRT(SUMSQ($B$7:$U$7))*SQRT(SUMSQ($B$5:$U$5)))</f>
        <v>0.14433756729740646</v>
      </c>
      <c r="D16" s="49">
        <f>SUMPRODUCT($B$7:$U$7,$B$6:$U$6)/(SQRT(SUMSQ($B$7:$U$7))*SQRT(SUMSQ($B$6:$U$6)))</f>
        <v>0</v>
      </c>
      <c r="E16" s="49">
        <f>SUMPRODUCT($B$7:$U$7,$B$7:$U$7)/(SQRT(SUMSQ($B$7:$U$7))*SQRT(SUMSQ($B$7:$U$7)))</f>
        <v>1.0000000000000002</v>
      </c>
    </row>
    <row r="18" spans="1:1" x14ac:dyDescent="0.2">
      <c r="A18" s="47" t="s">
        <v>82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3"/>
  <sheetViews>
    <sheetView showGridLines="0" zoomScale="130" zoomScaleNormal="130" workbookViewId="0">
      <pane ySplit="1" topLeftCell="A2" activePane="bottomLeft" state="frozen"/>
      <selection pane="bottomLeft" sqref="A1:XFD1"/>
    </sheetView>
  </sheetViews>
  <sheetFormatPr baseColWidth="10" defaultColWidth="8.6640625" defaultRowHeight="15" x14ac:dyDescent="0.2"/>
  <cols>
    <col min="2" max="2" width="45" customWidth="1"/>
    <col min="3" max="3" width="60" customWidth="1"/>
  </cols>
  <sheetData>
    <row r="1" spans="1:3" s="27" customFormat="1" ht="40" customHeight="1" x14ac:dyDescent="0.25">
      <c r="A1" s="32" t="s">
        <v>83</v>
      </c>
      <c r="B1" s="33"/>
      <c r="C1" s="33"/>
    </row>
    <row r="3" spans="1:3" x14ac:dyDescent="0.2">
      <c r="A3" s="6" t="s">
        <v>84</v>
      </c>
    </row>
    <row r="5" spans="1:3" ht="21.75" customHeight="1" x14ac:dyDescent="0.2">
      <c r="B5" s="44" t="s">
        <v>85</v>
      </c>
      <c r="C5" s="44" t="s">
        <v>86</v>
      </c>
    </row>
    <row r="6" spans="1:3" ht="54.75" customHeight="1" x14ac:dyDescent="0.2">
      <c r="B6" s="7" t="s">
        <v>87</v>
      </c>
      <c r="C6" s="7" t="s">
        <v>88</v>
      </c>
    </row>
    <row r="7" spans="1:3" ht="54.75" customHeight="1" x14ac:dyDescent="0.2">
      <c r="B7" s="7" t="s">
        <v>89</v>
      </c>
      <c r="C7" s="7" t="s">
        <v>90</v>
      </c>
    </row>
    <row r="8" spans="1:3" ht="54.75" customHeight="1" x14ac:dyDescent="0.2">
      <c r="B8" s="7" t="s">
        <v>91</v>
      </c>
      <c r="C8" s="7" t="s">
        <v>92</v>
      </c>
    </row>
    <row r="9" spans="1:3" ht="54.75" customHeight="1" x14ac:dyDescent="0.2">
      <c r="B9" s="7" t="s">
        <v>93</v>
      </c>
      <c r="C9" s="7" t="s">
        <v>94</v>
      </c>
    </row>
    <row r="10" spans="1:3" ht="54.75" customHeight="1" x14ac:dyDescent="0.2">
      <c r="B10" s="7" t="s">
        <v>95</v>
      </c>
      <c r="C10" s="7" t="s">
        <v>96</v>
      </c>
    </row>
    <row r="11" spans="1:3" ht="54.75" customHeight="1" x14ac:dyDescent="0.2">
      <c r="B11" s="7" t="s">
        <v>97</v>
      </c>
      <c r="C11" s="7" t="s">
        <v>98</v>
      </c>
    </row>
    <row r="13" spans="1:3" ht="34.5" customHeight="1" x14ac:dyDescent="0.2">
      <c r="B13" s="8"/>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3"/>
  <sheetViews>
    <sheetView showGridLines="0" zoomScale="150" zoomScaleNormal="150" workbookViewId="0">
      <pane ySplit="1" topLeftCell="A2" activePane="bottomLeft" state="frozen"/>
      <selection pane="bottomLeft" sqref="A1:XFD1"/>
    </sheetView>
  </sheetViews>
  <sheetFormatPr baseColWidth="10" defaultColWidth="8.6640625" defaultRowHeight="15" x14ac:dyDescent="0.2"/>
  <cols>
    <col min="1" max="7" width="21.6640625" customWidth="1"/>
    <col min="8" max="8" width="24" customWidth="1"/>
    <col min="9" max="9" width="8" customWidth="1"/>
  </cols>
  <sheetData>
    <row r="1" spans="1:9" s="27" customFormat="1" ht="40" customHeight="1" x14ac:dyDescent="0.25">
      <c r="A1" s="32" t="s">
        <v>167</v>
      </c>
      <c r="B1" s="33"/>
      <c r="C1" s="33"/>
    </row>
    <row r="2" spans="1:9" ht="33.75" customHeight="1" x14ac:dyDescent="0.2">
      <c r="A2" s="2" t="s">
        <v>99</v>
      </c>
      <c r="B2" s="2"/>
      <c r="C2" s="2"/>
      <c r="D2" s="2"/>
      <c r="E2" s="2"/>
      <c r="F2" s="2"/>
      <c r="G2" s="2"/>
      <c r="H2" s="2"/>
      <c r="I2" s="2"/>
    </row>
    <row r="4" spans="1:9" ht="31.5" customHeight="1" x14ac:dyDescent="0.2">
      <c r="A4" s="54" t="s">
        <v>11</v>
      </c>
      <c r="B4" s="54" t="s">
        <v>12</v>
      </c>
      <c r="C4" s="54" t="s">
        <v>13</v>
      </c>
      <c r="D4" s="54" t="s">
        <v>14</v>
      </c>
      <c r="E4" s="54" t="s">
        <v>15</v>
      </c>
      <c r="F4" s="54" t="s">
        <v>16</v>
      </c>
      <c r="G4" s="54" t="s">
        <v>17</v>
      </c>
      <c r="H4" s="54" t="s">
        <v>100</v>
      </c>
    </row>
    <row r="5" spans="1:9" ht="18" customHeight="1" x14ac:dyDescent="0.2">
      <c r="A5" s="57" t="s">
        <v>18</v>
      </c>
      <c r="B5" s="58">
        <f>'1. Rasgos manuales'!B4</f>
        <v>7</v>
      </c>
      <c r="C5" s="58">
        <f>'1. Rasgos manuales'!C4</f>
        <v>8</v>
      </c>
      <c r="D5" s="58">
        <f>'1. Rasgos manuales'!D4</f>
        <v>9</v>
      </c>
      <c r="E5" s="58">
        <f>'1. Rasgos manuales'!E4</f>
        <v>1</v>
      </c>
      <c r="F5" s="58">
        <f>'1. Rasgos manuales'!F4</f>
        <v>3</v>
      </c>
      <c r="G5" s="58">
        <f>'1. Rasgos manuales'!G4</f>
        <v>9</v>
      </c>
      <c r="H5" s="9" t="s">
        <v>101</v>
      </c>
    </row>
    <row r="6" spans="1:9" ht="18" customHeight="1" x14ac:dyDescent="0.2">
      <c r="A6" s="57" t="s">
        <v>19</v>
      </c>
      <c r="B6" s="58">
        <f>'1. Rasgos manuales'!B5</f>
        <v>4</v>
      </c>
      <c r="C6" s="58">
        <f>'1. Rasgos manuales'!C5</f>
        <v>4</v>
      </c>
      <c r="D6" s="58">
        <f>'1. Rasgos manuales'!D5</f>
        <v>2</v>
      </c>
      <c r="E6" s="58">
        <f>'1. Rasgos manuales'!E5</f>
        <v>1</v>
      </c>
      <c r="F6" s="58">
        <f>'1. Rasgos manuales'!F5</f>
        <v>8</v>
      </c>
      <c r="G6" s="58">
        <f>'1. Rasgos manuales'!G5</f>
        <v>5</v>
      </c>
      <c r="H6" s="9" t="s">
        <v>101</v>
      </c>
    </row>
    <row r="7" spans="1:9" ht="18" customHeight="1" x14ac:dyDescent="0.2">
      <c r="A7" s="57" t="s">
        <v>20</v>
      </c>
      <c r="B7" s="58">
        <f>'1. Rasgos manuales'!B6</f>
        <v>3</v>
      </c>
      <c r="C7" s="58">
        <f>'1. Rasgos manuales'!C6</f>
        <v>1</v>
      </c>
      <c r="D7" s="58">
        <f>'1. Rasgos manuales'!D6</f>
        <v>2</v>
      </c>
      <c r="E7" s="58">
        <f>'1. Rasgos manuales'!E6</f>
        <v>8</v>
      </c>
      <c r="F7" s="58">
        <f>'1. Rasgos manuales'!F6</f>
        <v>5</v>
      </c>
      <c r="G7" s="58">
        <f>'1. Rasgos manuales'!G6</f>
        <v>6</v>
      </c>
      <c r="H7" s="9" t="s">
        <v>101</v>
      </c>
    </row>
    <row r="8" spans="1:9" ht="18" customHeight="1" x14ac:dyDescent="0.2">
      <c r="A8" s="57" t="s">
        <v>21</v>
      </c>
      <c r="B8" s="58">
        <f>'1. Rasgos manuales'!B7</f>
        <v>10</v>
      </c>
      <c r="C8" s="58">
        <f>'1. Rasgos manuales'!C7</f>
        <v>10</v>
      </c>
      <c r="D8" s="58">
        <f>'1. Rasgos manuales'!D7</f>
        <v>0</v>
      </c>
      <c r="E8" s="58">
        <f>'1. Rasgos manuales'!E7</f>
        <v>0</v>
      </c>
      <c r="F8" s="58">
        <f>'1. Rasgos manuales'!F7</f>
        <v>0</v>
      </c>
      <c r="G8" s="58">
        <f>'1. Rasgos manuales'!G7</f>
        <v>0</v>
      </c>
      <c r="H8" s="9" t="s">
        <v>101</v>
      </c>
    </row>
    <row r="9" spans="1:9" ht="18" customHeight="1" x14ac:dyDescent="0.2">
      <c r="A9" s="10" t="s">
        <v>102</v>
      </c>
      <c r="B9" s="11">
        <f t="shared" ref="B9:G9" si="0">AVERAGE(B6,B8)</f>
        <v>7</v>
      </c>
      <c r="C9" s="11">
        <f t="shared" si="0"/>
        <v>7</v>
      </c>
      <c r="D9" s="11">
        <f t="shared" si="0"/>
        <v>1</v>
      </c>
      <c r="E9" s="11">
        <f t="shared" si="0"/>
        <v>0.5</v>
      </c>
      <c r="F9" s="11">
        <f t="shared" si="0"/>
        <v>4</v>
      </c>
      <c r="G9" s="11">
        <f t="shared" si="0"/>
        <v>2.5</v>
      </c>
      <c r="H9" s="9" t="s">
        <v>103</v>
      </c>
    </row>
    <row r="10" spans="1:9" ht="15" customHeight="1" x14ac:dyDescent="0.2">
      <c r="A10" s="3"/>
      <c r="B10" s="3"/>
      <c r="C10" s="3"/>
      <c r="D10" s="3"/>
      <c r="E10" s="3"/>
      <c r="F10" s="3"/>
      <c r="G10" s="3"/>
      <c r="H10" s="3"/>
      <c r="I10" s="3"/>
    </row>
    <row r="11" spans="1:9" ht="17" x14ac:dyDescent="0.2">
      <c r="A11" s="55" t="s">
        <v>104</v>
      </c>
    </row>
    <row r="12" spans="1:9" x14ac:dyDescent="0.2">
      <c r="A12" s="54"/>
      <c r="B12" s="54" t="s">
        <v>18</v>
      </c>
      <c r="C12" s="54" t="s">
        <v>19</v>
      </c>
      <c r="D12" s="54" t="s">
        <v>20</v>
      </c>
      <c r="E12" s="54" t="s">
        <v>21</v>
      </c>
    </row>
    <row r="13" spans="1:9" x14ac:dyDescent="0.2">
      <c r="A13" s="56" t="s">
        <v>102</v>
      </c>
      <c r="B13" s="12">
        <f>SUMPRODUCT($B$9:$G$9,$B$5:$G$5)/(SQRT(SUMSQ($B$9:$G$9))*SQRT(SUMSQ($B$5:$G$5)))</f>
        <v>0.80071082419549422</v>
      </c>
      <c r="C13" s="12">
        <f>SUMPRODUCT($B$9:$G$9,$B$6:$G$6)/(SQRT(SUMSQ($B$9:$G$9))*SQRT(SUMSQ($B$6:$G$6)))</f>
        <v>0.83246084052989688</v>
      </c>
      <c r="D13" s="12">
        <f>SUMPRODUCT($B$9:$G$9,$B$7:$G$7)/(SQRT(SUMSQ($B$9:$G$9))*SQRT(SUMSQ($B$7:$G$7)))</f>
        <v>0.53094991014940696</v>
      </c>
      <c r="E13" s="12">
        <f>SUMPRODUCT($B$9:$G$9,$B$8:$G$8)/(SQRT(SUMSQ($B$9:$G$9))*SQRT(SUMSQ($B$8:$G$8)))</f>
        <v>0.89810041873941782</v>
      </c>
    </row>
    <row r="14" spans="1:9" ht="31.5" customHeight="1" x14ac:dyDescent="0.2">
      <c r="A14" s="3" t="s">
        <v>105</v>
      </c>
      <c r="B14" s="3"/>
      <c r="C14" s="3"/>
      <c r="D14" s="3"/>
      <c r="E14" s="3"/>
      <c r="F14" s="3"/>
      <c r="G14" s="3"/>
      <c r="H14" s="3"/>
      <c r="I14" s="3"/>
    </row>
    <row r="16" spans="1:9" ht="17" x14ac:dyDescent="0.2">
      <c r="A16" s="55" t="s">
        <v>106</v>
      </c>
    </row>
    <row r="17" spans="1:9" ht="34" customHeight="1" x14ac:dyDescent="0.2">
      <c r="A17" s="2" t="s">
        <v>107</v>
      </c>
      <c r="B17" s="2"/>
      <c r="C17" s="2"/>
      <c r="D17" s="2"/>
      <c r="E17" s="2"/>
      <c r="F17" s="2"/>
      <c r="G17" s="2"/>
      <c r="H17" s="2"/>
      <c r="I17" s="2"/>
    </row>
    <row r="18" spans="1:9" ht="15" customHeight="1" x14ac:dyDescent="0.2">
      <c r="A18" s="59"/>
      <c r="B18" s="60" t="s">
        <v>29</v>
      </c>
      <c r="C18" s="60"/>
      <c r="D18" s="60"/>
      <c r="E18" s="60"/>
      <c r="F18" s="60"/>
      <c r="G18" s="60" t="s">
        <v>108</v>
      </c>
      <c r="H18" s="60"/>
      <c r="I18" s="60"/>
    </row>
    <row r="19" spans="1:9" ht="21.75" customHeight="1" x14ac:dyDescent="0.2">
      <c r="A19" s="61" t="s">
        <v>109</v>
      </c>
      <c r="B19" s="1" t="s">
        <v>110</v>
      </c>
      <c r="C19" s="1"/>
      <c r="D19" s="1"/>
      <c r="E19" s="1"/>
      <c r="F19" s="1"/>
      <c r="G19" s="1" t="s">
        <v>111</v>
      </c>
      <c r="H19" s="1"/>
      <c r="I19" s="1"/>
    </row>
    <row r="20" spans="1:9" ht="21.75" customHeight="1" x14ac:dyDescent="0.2">
      <c r="A20" s="61" t="s">
        <v>112</v>
      </c>
      <c r="B20" s="1" t="s">
        <v>113</v>
      </c>
      <c r="C20" s="1"/>
      <c r="D20" s="1"/>
      <c r="E20" s="1"/>
      <c r="F20" s="1"/>
      <c r="G20" s="1" t="s">
        <v>114</v>
      </c>
      <c r="H20" s="1"/>
      <c r="I20" s="1"/>
    </row>
    <row r="21" spans="1:9" ht="15" customHeight="1" x14ac:dyDescent="0.2">
      <c r="A21" s="3"/>
      <c r="B21" s="3"/>
      <c r="C21" s="3"/>
      <c r="D21" s="3"/>
      <c r="E21" s="3"/>
      <c r="F21" s="3"/>
      <c r="G21" s="3"/>
      <c r="H21" s="3"/>
      <c r="I21" s="3"/>
    </row>
    <row r="23" spans="1:9" ht="17" x14ac:dyDescent="0.2">
      <c r="A23" s="62" t="s">
        <v>115</v>
      </c>
    </row>
    <row r="24" spans="1:9" ht="36" customHeight="1" x14ac:dyDescent="0.2">
      <c r="A24" s="2" t="s">
        <v>116</v>
      </c>
      <c r="B24" s="2"/>
      <c r="C24" s="2"/>
      <c r="D24" s="2"/>
      <c r="E24" s="2"/>
      <c r="F24" s="2"/>
      <c r="G24" s="2"/>
      <c r="H24" s="2"/>
      <c r="I24" s="2"/>
    </row>
    <row r="25" spans="1:9" ht="15" customHeight="1" x14ac:dyDescent="0.2">
      <c r="A25" s="4"/>
      <c r="B25" s="4"/>
      <c r="C25" s="4"/>
      <c r="D25" s="4"/>
      <c r="E25" s="4"/>
      <c r="F25" s="4"/>
      <c r="G25" s="4"/>
      <c r="H25" s="4"/>
      <c r="I25" s="4"/>
    </row>
    <row r="26" spans="1:9" ht="15" customHeight="1" x14ac:dyDescent="0.2">
      <c r="A26" s="61" t="s">
        <v>117</v>
      </c>
      <c r="B26" s="61">
        <v>5</v>
      </c>
      <c r="C26" s="3" t="s">
        <v>118</v>
      </c>
      <c r="D26" s="3"/>
      <c r="E26" s="3"/>
      <c r="F26" s="3"/>
      <c r="G26" s="3"/>
      <c r="H26" s="3"/>
      <c r="I26" s="3"/>
    </row>
    <row r="27" spans="1:9" ht="15" customHeight="1" x14ac:dyDescent="0.2">
      <c r="A27" s="4"/>
      <c r="B27" s="4"/>
      <c r="C27" s="4"/>
      <c r="D27" s="4"/>
      <c r="E27" s="4"/>
      <c r="F27" s="4"/>
      <c r="G27" s="4"/>
      <c r="H27" s="4"/>
      <c r="I27" s="4"/>
    </row>
    <row r="28" spans="1:9" x14ac:dyDescent="0.2">
      <c r="A28" s="5" t="s">
        <v>119</v>
      </c>
    </row>
    <row r="29" spans="1:9" ht="31.5" customHeight="1" x14ac:dyDescent="0.2">
      <c r="A29" s="54" t="s">
        <v>117</v>
      </c>
      <c r="B29" s="54" t="s">
        <v>120</v>
      </c>
      <c r="C29" s="54" t="s">
        <v>121</v>
      </c>
      <c r="D29" s="60" t="s">
        <v>122</v>
      </c>
      <c r="E29" s="60"/>
      <c r="F29" s="60"/>
      <c r="G29" s="60"/>
      <c r="H29" s="60"/>
      <c r="I29" s="60"/>
    </row>
    <row r="30" spans="1:9" ht="31.5" customHeight="1" x14ac:dyDescent="0.2">
      <c r="A30" s="13">
        <v>1</v>
      </c>
      <c r="B30" s="14">
        <f>EXP('6. Atención A'!$H$11*A30)/(EXP('6. Atención A'!$H$11*A30)+EXP('6. Atención A'!$H$12*A30))</f>
        <v>0.52545287491282344</v>
      </c>
      <c r="C30" s="14">
        <f>1-B30</f>
        <v>0.47454712508717656</v>
      </c>
      <c r="D30" s="1" t="s">
        <v>123</v>
      </c>
      <c r="E30" s="1"/>
      <c r="F30" s="1"/>
      <c r="G30" s="1"/>
      <c r="H30" s="1"/>
      <c r="I30" s="1"/>
    </row>
    <row r="31" spans="1:9" ht="31.5" customHeight="1" x14ac:dyDescent="0.2">
      <c r="A31" s="13">
        <v>5</v>
      </c>
      <c r="B31" s="14">
        <f>EXP('6. Atención A'!$H$11*A31)/(EXP('6. Atención A'!$H$11*A31)+EXP('6. Atención A'!$H$12*A31))</f>
        <v>0.62468876461122957</v>
      </c>
      <c r="C31" s="14">
        <f>1-B31</f>
        <v>0.37531123538877043</v>
      </c>
      <c r="D31" s="1" t="s">
        <v>124</v>
      </c>
      <c r="E31" s="1"/>
      <c r="F31" s="1"/>
      <c r="G31" s="1"/>
      <c r="H31" s="1"/>
      <c r="I31" s="1"/>
    </row>
    <row r="32" spans="1:9" ht="31.5" customHeight="1" x14ac:dyDescent="0.2">
      <c r="A32" s="13">
        <v>20</v>
      </c>
      <c r="B32" s="14">
        <f>EXP('6. Atención A'!$H$11*A32)/(EXP('6. Atención A'!$H$11*A32)+EXP('6. Atención A'!$H$12*A32))</f>
        <v>0.88472860426691979</v>
      </c>
      <c r="C32" s="14">
        <f>1-B32</f>
        <v>0.11527139573308021</v>
      </c>
      <c r="D32" s="1" t="s">
        <v>125</v>
      </c>
      <c r="E32" s="1"/>
      <c r="F32" s="1"/>
      <c r="G32" s="1"/>
      <c r="H32" s="1"/>
      <c r="I32" s="1"/>
    </row>
    <row r="33" spans="1:9" ht="31.5" customHeight="1" x14ac:dyDescent="0.2">
      <c r="A33" s="3" t="s">
        <v>126</v>
      </c>
      <c r="B33" s="3"/>
      <c r="C33" s="3"/>
      <c r="D33" s="3"/>
      <c r="E33" s="3"/>
      <c r="F33" s="3"/>
      <c r="G33" s="3"/>
      <c r="H33" s="3"/>
      <c r="I33" s="3"/>
    </row>
  </sheetData>
  <mergeCells count="18">
    <mergeCell ref="D32:I32"/>
    <mergeCell ref="A33:I33"/>
    <mergeCell ref="A24:I24"/>
    <mergeCell ref="C26:I26"/>
    <mergeCell ref="D29:I29"/>
    <mergeCell ref="D30:I30"/>
    <mergeCell ref="D31:I31"/>
    <mergeCell ref="B19:F19"/>
    <mergeCell ref="G19:I19"/>
    <mergeCell ref="B20:F20"/>
    <mergeCell ref="G20:I20"/>
    <mergeCell ref="A21:I21"/>
    <mergeCell ref="A2:I2"/>
    <mergeCell ref="A10:I10"/>
    <mergeCell ref="A14:I14"/>
    <mergeCell ref="A17:I17"/>
    <mergeCell ref="B18:F18"/>
    <mergeCell ref="G18:I1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7"/>
  <sheetViews>
    <sheetView showGridLines="0" zoomScale="150" zoomScaleNormal="150" workbookViewId="0">
      <pane ySplit="1" topLeftCell="A2" activePane="bottomLeft" state="frozen"/>
      <selection pane="bottomLeft" activeCell="B5" sqref="B5"/>
    </sheetView>
  </sheetViews>
  <sheetFormatPr baseColWidth="10" defaultColWidth="8.6640625" defaultRowHeight="15" x14ac:dyDescent="0.2"/>
  <cols>
    <col min="1" max="1" width="28" customWidth="1"/>
    <col min="2" max="7" width="11" customWidth="1"/>
    <col min="8" max="11" width="15" customWidth="1"/>
    <col min="12" max="17" width="12" customWidth="1"/>
  </cols>
  <sheetData>
    <row r="1" spans="1:17" s="27" customFormat="1" ht="40" customHeight="1" x14ac:dyDescent="0.25">
      <c r="A1" s="32" t="s">
        <v>168</v>
      </c>
      <c r="B1" s="33"/>
      <c r="C1" s="33"/>
    </row>
    <row r="2" spans="1:17" ht="15" customHeight="1" x14ac:dyDescent="0.2">
      <c r="A2" s="3" t="s">
        <v>169</v>
      </c>
      <c r="B2" s="3"/>
      <c r="C2" s="3"/>
      <c r="D2" s="3"/>
      <c r="E2" s="3"/>
      <c r="F2" s="3"/>
      <c r="G2" s="3"/>
      <c r="H2" s="3"/>
      <c r="I2" s="3"/>
      <c r="J2" s="3"/>
      <c r="K2" s="3"/>
      <c r="L2" s="3"/>
      <c r="M2" s="3"/>
      <c r="N2" s="3"/>
      <c r="O2" s="3"/>
      <c r="P2" s="3"/>
      <c r="Q2" s="3"/>
    </row>
    <row r="4" spans="1:17" x14ac:dyDescent="0.2">
      <c r="A4" s="56" t="s">
        <v>127</v>
      </c>
      <c r="B4" s="74" t="s">
        <v>102</v>
      </c>
    </row>
    <row r="5" spans="1:17" x14ac:dyDescent="0.2">
      <c r="A5" s="56" t="s">
        <v>117</v>
      </c>
      <c r="B5" s="74">
        <f>'5. El problema'!$B$26</f>
        <v>5</v>
      </c>
    </row>
    <row r="7" spans="1:17" ht="30" x14ac:dyDescent="0.2">
      <c r="A7" s="54"/>
      <c r="B7" s="54" t="s">
        <v>128</v>
      </c>
      <c r="C7" s="54" t="s">
        <v>129</v>
      </c>
      <c r="D7" s="54" t="s">
        <v>130</v>
      </c>
      <c r="E7" s="54" t="s">
        <v>131</v>
      </c>
      <c r="F7" s="54" t="s">
        <v>132</v>
      </c>
      <c r="G7" s="54" t="s">
        <v>133</v>
      </c>
    </row>
    <row r="8" spans="1:17" s="63" customFormat="1" x14ac:dyDescent="0.2">
      <c r="A8" s="57" t="s">
        <v>134</v>
      </c>
      <c r="B8" s="58">
        <f>INDEX('5. El problema'!$B$5:$B$9,MATCH($B$4,'5. El problema'!$A$5:$A$9,0))</f>
        <v>7</v>
      </c>
      <c r="C8" s="58">
        <f>INDEX('5. El problema'!$C$5:$C$9,MATCH($B$4,'5. El problema'!$A$5:$A$9,0))</f>
        <v>7</v>
      </c>
      <c r="D8" s="58">
        <f>INDEX('5. El problema'!$D$5:$D$9,MATCH($B$4,'5. El problema'!$A$5:$A$9,0))</f>
        <v>1</v>
      </c>
      <c r="E8" s="58">
        <f>INDEX('5. El problema'!$E$5:$E$9,MATCH($B$4,'5. El problema'!$A$5:$A$9,0))</f>
        <v>0.5</v>
      </c>
      <c r="F8" s="58">
        <f>INDEX('5. El problema'!$F$5:$F$9,MATCH($B$4,'5. El problema'!$A$5:$A$9,0))</f>
        <v>4</v>
      </c>
      <c r="G8" s="58">
        <f>INDEX('5. El problema'!$G$5:$G$9,MATCH($B$4,'5. El problema'!$A$5:$A$9,0))</f>
        <v>2.5</v>
      </c>
    </row>
    <row r="10" spans="1:17" ht="45.75" customHeight="1" x14ac:dyDescent="0.2">
      <c r="A10" s="54" t="s">
        <v>135</v>
      </c>
      <c r="B10" s="54" t="s">
        <v>128</v>
      </c>
      <c r="C10" s="54" t="s">
        <v>129</v>
      </c>
      <c r="D10" s="54" t="s">
        <v>130</v>
      </c>
      <c r="E10" s="54" t="s">
        <v>131</v>
      </c>
      <c r="F10" s="54" t="s">
        <v>132</v>
      </c>
      <c r="G10" s="54" t="s">
        <v>133</v>
      </c>
      <c r="H10" s="54" t="s">
        <v>136</v>
      </c>
      <c r="I10" s="54" t="s">
        <v>137</v>
      </c>
      <c r="J10" s="54" t="s">
        <v>138</v>
      </c>
      <c r="K10" s="54" t="s">
        <v>139</v>
      </c>
      <c r="L10" s="54" t="s">
        <v>140</v>
      </c>
      <c r="M10" s="54" t="s">
        <v>141</v>
      </c>
      <c r="N10" s="54" t="s">
        <v>142</v>
      </c>
      <c r="O10" s="54" t="s">
        <v>143</v>
      </c>
      <c r="P10" s="54" t="s">
        <v>144</v>
      </c>
      <c r="Q10" s="54" t="s">
        <v>145</v>
      </c>
    </row>
    <row r="11" spans="1:17" s="63" customFormat="1" x14ac:dyDescent="0.2">
      <c r="A11" s="57" t="s">
        <v>102</v>
      </c>
      <c r="B11" s="58">
        <f>IF($A11="","",INDEX('5. El problema'!$B$5:$B$9,MATCH($A11,'5. El problema'!$A$5:$A$9,0)))</f>
        <v>7</v>
      </c>
      <c r="C11" s="58">
        <f>IF($A11="","",INDEX('5. El problema'!$C$5:$C$9,MATCH($A11,'5. El problema'!$A$5:$A$9,0)))</f>
        <v>7</v>
      </c>
      <c r="D11" s="58">
        <f>IF($A11="","",INDEX('5. El problema'!$D$5:$D$9,MATCH($A11,'5. El problema'!$A$5:$A$9,0)))</f>
        <v>1</v>
      </c>
      <c r="E11" s="58">
        <f>IF($A11="","",INDEX('5. El problema'!$E$5:$E$9,MATCH($A11,'5. El problema'!$A$5:$A$9,0)))</f>
        <v>0.5</v>
      </c>
      <c r="F11" s="58">
        <f>IF($A11="","",INDEX('5. El problema'!$F$5:$F$9,MATCH($A11,'5. El problema'!$A$5:$A$9,0)))</f>
        <v>4</v>
      </c>
      <c r="G11" s="58">
        <f>IF($A11="","",INDEX('5. El problema'!$G$5:$G$9,MATCH($A11,'5. El problema'!$A$5:$A$9,0)))</f>
        <v>2.5</v>
      </c>
      <c r="H11" s="64">
        <f>IF($A11="","",SUMPRODUCT(B11:G11,$B$8:$G$8)/(SQRT(SUMSQ(B11:G11))*SQRT(SUMSQ($B$8:$G$8))))</f>
        <v>1.0000000000000002</v>
      </c>
      <c r="I11" s="64">
        <f>IF($A11="","",H11*$B$5)</f>
        <v>5.0000000000000009</v>
      </c>
      <c r="J11" s="64">
        <f>IF($A11="",0,EXP(I11))</f>
        <v>148.41315910257674</v>
      </c>
      <c r="K11" s="65">
        <f>J11/$J$13</f>
        <v>0.62468876461122957</v>
      </c>
      <c r="L11" s="64">
        <f t="shared" ref="L11:Q12" si="0">IF($A11="",0,$K11*B11)</f>
        <v>4.3728213522786072</v>
      </c>
      <c r="M11" s="64">
        <f t="shared" si="0"/>
        <v>4.3728213522786072</v>
      </c>
      <c r="N11" s="64">
        <f t="shared" si="0"/>
        <v>0.62468876461122957</v>
      </c>
      <c r="O11" s="64">
        <f t="shared" si="0"/>
        <v>0.31234438230561479</v>
      </c>
      <c r="P11" s="64">
        <f t="shared" si="0"/>
        <v>2.4987550584449183</v>
      </c>
      <c r="Q11" s="64">
        <f t="shared" si="0"/>
        <v>1.5617219115280738</v>
      </c>
    </row>
    <row r="12" spans="1:17" s="63" customFormat="1" x14ac:dyDescent="0.2">
      <c r="A12" s="57" t="s">
        <v>21</v>
      </c>
      <c r="B12" s="58">
        <f>IF($A12="","",INDEX('5. El problema'!$B$5:$B$9,MATCH($A12,'5. El problema'!$A$5:$A$9,0)))</f>
        <v>10</v>
      </c>
      <c r="C12" s="58">
        <f>IF($A12="","",INDEX('5. El problema'!$C$5:$C$9,MATCH($A12,'5. El problema'!$A$5:$A$9,0)))</f>
        <v>10</v>
      </c>
      <c r="D12" s="58">
        <f>IF($A12="","",INDEX('5. El problema'!$D$5:$D$9,MATCH($A12,'5. El problema'!$A$5:$A$9,0)))</f>
        <v>0</v>
      </c>
      <c r="E12" s="58">
        <f>IF($A12="","",INDEX('5. El problema'!$E$5:$E$9,MATCH($A12,'5. El problema'!$A$5:$A$9,0)))</f>
        <v>0</v>
      </c>
      <c r="F12" s="58">
        <f>IF($A12="","",INDEX('5. El problema'!$F$5:$F$9,MATCH($A12,'5. El problema'!$A$5:$A$9,0)))</f>
        <v>0</v>
      </c>
      <c r="G12" s="58">
        <f>IF($A12="","",INDEX('5. El problema'!$G$5:$G$9,MATCH($A12,'5. El problema'!$A$5:$A$9,0)))</f>
        <v>0</v>
      </c>
      <c r="H12" s="64">
        <f>IF($A12="","",SUMPRODUCT(B12:G12,$B$8:$G$8)/(SQRT(SUMSQ(B12:G12))*SQRT(SUMSQ($B$8:$G$8))))</f>
        <v>0.89810041873941782</v>
      </c>
      <c r="I12" s="64">
        <f>IF($A12="","",H12*$B$5)</f>
        <v>4.4905020936970894</v>
      </c>
      <c r="J12" s="64">
        <f>IF($A12="",0,EXP(I12))</f>
        <v>89.166204430462898</v>
      </c>
      <c r="K12" s="65">
        <f>J12/$J$13</f>
        <v>0.37531123538877043</v>
      </c>
      <c r="L12" s="64">
        <f t="shared" si="0"/>
        <v>3.7531123538877043</v>
      </c>
      <c r="M12" s="64">
        <f t="shared" si="0"/>
        <v>3.7531123538877043</v>
      </c>
      <c r="N12" s="64">
        <f t="shared" si="0"/>
        <v>0</v>
      </c>
      <c r="O12" s="64">
        <f t="shared" si="0"/>
        <v>0</v>
      </c>
      <c r="P12" s="64">
        <f t="shared" si="0"/>
        <v>0</v>
      </c>
      <c r="Q12" s="64">
        <f t="shared" si="0"/>
        <v>0</v>
      </c>
    </row>
    <row r="13" spans="1:17" s="63" customFormat="1" x14ac:dyDescent="0.2">
      <c r="A13" s="57" t="s">
        <v>146</v>
      </c>
      <c r="J13" s="66">
        <f>SUM(J11:J12)</f>
        <v>237.57936353303964</v>
      </c>
      <c r="K13" s="65">
        <f>SUM(K11:K12)</f>
        <v>1</v>
      </c>
      <c r="L13" s="66">
        <f>SUM(L11:L12)</f>
        <v>8.1259337061663111</v>
      </c>
      <c r="M13" s="66">
        <f>SUM(M11:M12)</f>
        <v>8.1259337061663111</v>
      </c>
      <c r="N13" s="66">
        <f>SUM(N11:N12)</f>
        <v>0.62468876461122957</v>
      </c>
      <c r="O13" s="66">
        <f>SUM(O11:O12)</f>
        <v>0.31234438230561479</v>
      </c>
      <c r="P13" s="66">
        <f>SUM(P11:P12)</f>
        <v>2.4987550584449183</v>
      </c>
      <c r="Q13" s="66">
        <f>SUM(Q11:Q12)</f>
        <v>1.5617219115280738</v>
      </c>
    </row>
    <row r="15" spans="1:17" ht="30" x14ac:dyDescent="0.2">
      <c r="A15" s="54"/>
      <c r="B15" s="54" t="s">
        <v>128</v>
      </c>
      <c r="C15" s="54" t="s">
        <v>129</v>
      </c>
      <c r="D15" s="54" t="s">
        <v>130</v>
      </c>
      <c r="E15" s="54" t="s">
        <v>131</v>
      </c>
      <c r="F15" s="54" t="s">
        <v>132</v>
      </c>
      <c r="G15" s="54" t="s">
        <v>133</v>
      </c>
    </row>
    <row r="16" spans="1:17" s="63" customFormat="1" ht="15" customHeight="1" x14ac:dyDescent="0.2">
      <c r="A16" s="67" t="s">
        <v>147</v>
      </c>
      <c r="B16" s="68">
        <f t="shared" ref="B16:G16" si="1">L13</f>
        <v>8.1259337061663111</v>
      </c>
      <c r="C16" s="68">
        <f t="shared" si="1"/>
        <v>8.1259337061663111</v>
      </c>
      <c r="D16" s="68">
        <f t="shared" si="1"/>
        <v>0.62468876461122957</v>
      </c>
      <c r="E16" s="68">
        <f t="shared" si="1"/>
        <v>0.31234438230561479</v>
      </c>
      <c r="F16" s="68">
        <f t="shared" si="1"/>
        <v>2.4987550584449183</v>
      </c>
      <c r="G16" s="68">
        <f t="shared" si="1"/>
        <v>1.5617219115280738</v>
      </c>
      <c r="H16" s="69" t="s">
        <v>148</v>
      </c>
      <c r="I16" s="69"/>
      <c r="J16" s="69"/>
      <c r="K16" s="69"/>
      <c r="L16" s="69"/>
      <c r="M16" s="69"/>
      <c r="N16" s="69"/>
      <c r="O16" s="69"/>
      <c r="P16" s="69"/>
      <c r="Q16" s="69"/>
    </row>
    <row r="17" spans="1:17" s="63" customFormat="1" x14ac:dyDescent="0.2">
      <c r="A17" s="57" t="s">
        <v>134</v>
      </c>
      <c r="B17" s="70">
        <f t="shared" ref="B17:G17" si="2">B8</f>
        <v>7</v>
      </c>
      <c r="C17" s="70">
        <f t="shared" si="2"/>
        <v>7</v>
      </c>
      <c r="D17" s="70">
        <f t="shared" si="2"/>
        <v>1</v>
      </c>
      <c r="E17" s="70">
        <f t="shared" si="2"/>
        <v>0.5</v>
      </c>
      <c r="F17" s="70">
        <f t="shared" si="2"/>
        <v>4</v>
      </c>
      <c r="G17" s="70">
        <f t="shared" si="2"/>
        <v>2.5</v>
      </c>
    </row>
    <row r="18" spans="1:17" s="63" customFormat="1" x14ac:dyDescent="0.2">
      <c r="A18" s="57" t="s">
        <v>149</v>
      </c>
      <c r="B18" s="71">
        <f t="shared" ref="B18:G18" si="3">B16-B17</f>
        <v>1.1259337061663111</v>
      </c>
      <c r="C18" s="71">
        <f t="shared" si="3"/>
        <v>1.1259337061663111</v>
      </c>
      <c r="D18" s="71">
        <f t="shared" si="3"/>
        <v>-0.37531123538877043</v>
      </c>
      <c r="E18" s="71">
        <f t="shared" si="3"/>
        <v>-0.18765561769438521</v>
      </c>
      <c r="F18" s="71">
        <f t="shared" si="3"/>
        <v>-1.5012449415550817</v>
      </c>
      <c r="G18" s="71">
        <f t="shared" si="3"/>
        <v>-0.93827808847192617</v>
      </c>
    </row>
    <row r="20" spans="1:17" ht="17" x14ac:dyDescent="0.2">
      <c r="A20" s="55" t="s">
        <v>150</v>
      </c>
    </row>
    <row r="21" spans="1:17" ht="43" customHeight="1" x14ac:dyDescent="0.2">
      <c r="A21" s="54"/>
      <c r="B21" s="54" t="s">
        <v>151</v>
      </c>
      <c r="C21" s="54" t="s">
        <v>152</v>
      </c>
      <c r="D21" s="54" t="s">
        <v>153</v>
      </c>
    </row>
    <row r="22" spans="1:17" x14ac:dyDescent="0.2">
      <c r="A22" s="56" t="s">
        <v>154</v>
      </c>
      <c r="B22" s="12">
        <f>SUMPRODUCT($B$17:$G$17,'5. El problema'!$B$8:$G$8)/(SQRT(SUMSQ($B$17:$G$17))*SQRT(SUMSQ('5. El problema'!$B$8:$G$8)))</f>
        <v>0.89810041873941782</v>
      </c>
      <c r="C22" s="12">
        <f>SUMPRODUCT($B$17:$G$17,'5. El problema'!$B$6:$G$6)/(SQRT(SUMSQ($B$17:$G$17))*SQRT(SUMSQ('5. El problema'!$B$6:$G$6)))</f>
        <v>0.83246084052989688</v>
      </c>
      <c r="D22" s="12">
        <f>B22-C22</f>
        <v>6.5639578209520932E-2</v>
      </c>
    </row>
    <row r="23" spans="1:17" x14ac:dyDescent="0.2">
      <c r="A23" s="18" t="s">
        <v>155</v>
      </c>
      <c r="B23" s="19">
        <f>SUMPRODUCT($B$16:$G$16,'5. El problema'!$B$8:$G$8)/(SQRT(SUMSQ($B$16:$G$16))*SQRT(SUMSQ('5. El problema'!$B$8:$G$8)))</f>
        <v>0.96698891596196079</v>
      </c>
      <c r="C23" s="19">
        <f>SUMPRODUCT($B$16:$G$16,'5. El problema'!$B$6:$G$6)/(SQRT(SUMSQ($B$16:$G$16))*SQRT(SUMSQ('5. El problema'!$B$6:$G$6)))</f>
        <v>0.70741126700524026</v>
      </c>
      <c r="D23" s="19">
        <f>B23-C23</f>
        <v>0.25957764895672053</v>
      </c>
    </row>
    <row r="24" spans="1:17" x14ac:dyDescent="0.2">
      <c r="A24" s="56" t="s">
        <v>149</v>
      </c>
      <c r="B24" s="20">
        <f>B23-B22</f>
        <v>6.8888497222542977E-2</v>
      </c>
      <c r="C24" s="20">
        <f>C23-C22</f>
        <v>-0.12504957352465662</v>
      </c>
      <c r="D24" s="20">
        <f>D23-D22</f>
        <v>0.1939380707471996</v>
      </c>
    </row>
    <row r="26" spans="1:17" ht="21.75" customHeight="1" x14ac:dyDescent="0.2">
      <c r="A26" s="80" t="s">
        <v>170</v>
      </c>
      <c r="B26" s="73" t="str">
        <f>IF(AND(B24&gt;0,C24&lt;0),"Sí se cumple: «jaguar» se acercó a «auto» (de "&amp;FIXED(B22,2)&amp;" a "&amp;FIXED(B23,2)&amp;") y se alejó de «gato» (de "&amp;FIXED(C22,2)&amp;" a "&amp;FIXED(C23,2)&amp;").","No se cumple del todo: revisa la escala o las palabras de la oración.")</f>
        <v>Sí se cumple: «jaguar» se acercó a «auto» (de 0,90 a 0,97) y se alejó de «gato» (de 0,83 a 0,71).</v>
      </c>
      <c r="C26" s="73"/>
      <c r="D26" s="73"/>
      <c r="E26" s="73"/>
      <c r="F26" s="73"/>
      <c r="G26" s="73"/>
      <c r="H26" s="73"/>
      <c r="I26" s="73"/>
      <c r="J26" s="73"/>
      <c r="K26" s="73"/>
      <c r="L26" s="73"/>
      <c r="M26" s="73"/>
      <c r="N26" s="73"/>
      <c r="O26" s="73"/>
      <c r="P26" s="73"/>
      <c r="Q26" s="73"/>
    </row>
    <row r="27" spans="1:17" ht="30" customHeight="1" x14ac:dyDescent="0.2">
      <c r="A27" s="3" t="s">
        <v>156</v>
      </c>
      <c r="B27" s="3"/>
      <c r="C27" s="3"/>
      <c r="D27" s="3"/>
      <c r="E27" s="3"/>
      <c r="F27" s="3"/>
      <c r="G27" s="3"/>
      <c r="H27" s="3"/>
      <c r="I27" s="3"/>
      <c r="J27" s="3"/>
      <c r="K27" s="3"/>
      <c r="L27" s="3"/>
      <c r="M27" s="3"/>
      <c r="N27" s="3"/>
      <c r="O27" s="3"/>
      <c r="P27" s="3"/>
      <c r="Q27" s="3"/>
    </row>
  </sheetData>
  <mergeCells count="4">
    <mergeCell ref="A2:Q2"/>
    <mergeCell ref="H16:Q16"/>
    <mergeCell ref="B26:Q26"/>
    <mergeCell ref="A27:Q27"/>
  </mergeCells>
  <conditionalFormatting sqref="K11:K12">
    <cfRule type="dataBar" priority="2">
      <dataBar>
        <cfvo type="num" val="0"/>
        <cfvo type="num" val="1"/>
        <color rgb="FF7FB3A6"/>
      </dataBar>
      <extLst>
        <ext xmlns:x14="http://schemas.microsoft.com/office/spreadsheetml/2009/9/main" uri="{B025F937-C7B1-47D3-B67F-A62EFF666E3E}">
          <x14:id>{BE858247-DF79-4014-9DDD-D8407198BA63}</x14:id>
        </ext>
      </extLs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BE858247-DF79-4014-9DDD-D8407198BA63}">
            <x14:dataBar axisPosition="none">
              <x14:cfvo type="num">
                <xm:f>0</xm:f>
              </x14:cfvo>
              <x14:cfvo type="num">
                <xm:f>1</xm:f>
              </x14:cfvo>
              <x14:negativeFillColor rgb="FF7FB3A6"/>
            </x14:dataBar>
          </x14:cfRule>
          <xm:sqref>K11:K12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8"/>
  <sheetViews>
    <sheetView showGridLines="0" zoomScale="150" zoomScaleNormal="150" workbookViewId="0">
      <pane ySplit="1" topLeftCell="A2" activePane="bottomLeft" state="frozen"/>
      <selection pane="bottomLeft" sqref="A1:XFD1"/>
    </sheetView>
  </sheetViews>
  <sheetFormatPr baseColWidth="10" defaultColWidth="8.6640625" defaultRowHeight="15" x14ac:dyDescent="0.2"/>
  <cols>
    <col min="1" max="1" width="28" customWidth="1"/>
    <col min="2" max="7" width="11" customWidth="1"/>
    <col min="8" max="11" width="15" customWidth="1"/>
    <col min="12" max="17" width="12" customWidth="1"/>
  </cols>
  <sheetData>
    <row r="1" spans="1:17" s="27" customFormat="1" ht="40" customHeight="1" x14ac:dyDescent="0.25">
      <c r="A1" s="32" t="s">
        <v>171</v>
      </c>
      <c r="B1" s="33"/>
      <c r="C1" s="33"/>
    </row>
    <row r="2" spans="1:17" ht="15" customHeight="1" x14ac:dyDescent="0.2">
      <c r="A2" s="3" t="s">
        <v>169</v>
      </c>
      <c r="B2" s="3"/>
      <c r="C2" s="3"/>
      <c r="D2" s="3"/>
      <c r="E2" s="3"/>
      <c r="F2" s="3"/>
      <c r="G2" s="3"/>
      <c r="H2" s="3"/>
      <c r="I2" s="3"/>
      <c r="J2" s="3"/>
      <c r="K2" s="3"/>
      <c r="L2" s="3"/>
      <c r="M2" s="3"/>
      <c r="N2" s="3"/>
      <c r="O2" s="3"/>
      <c r="P2" s="3"/>
      <c r="Q2" s="3"/>
    </row>
    <row r="4" spans="1:17" x14ac:dyDescent="0.2">
      <c r="A4" s="56" t="s">
        <v>127</v>
      </c>
      <c r="B4" s="74" t="s">
        <v>102</v>
      </c>
    </row>
    <row r="5" spans="1:17" x14ac:dyDescent="0.2">
      <c r="A5" s="56" t="s">
        <v>117</v>
      </c>
      <c r="B5" s="74">
        <f>'5. El problema'!$B$26</f>
        <v>5</v>
      </c>
    </row>
    <row r="7" spans="1:17" ht="30" x14ac:dyDescent="0.2">
      <c r="A7" s="54"/>
      <c r="B7" s="54" t="s">
        <v>128</v>
      </c>
      <c r="C7" s="54" t="s">
        <v>129</v>
      </c>
      <c r="D7" s="54" t="s">
        <v>130</v>
      </c>
      <c r="E7" s="54" t="s">
        <v>131</v>
      </c>
      <c r="F7" s="54" t="s">
        <v>132</v>
      </c>
      <c r="G7" s="54" t="s">
        <v>133</v>
      </c>
    </row>
    <row r="8" spans="1:17" x14ac:dyDescent="0.2">
      <c r="A8" s="57" t="s">
        <v>134</v>
      </c>
      <c r="B8" s="58">
        <f>INDEX('5. El problema'!$B$5:$B$9,MATCH($B$4,'5. El problema'!$A$5:$A$9,0))</f>
        <v>7</v>
      </c>
      <c r="C8" s="58">
        <f>INDEX('5. El problema'!$C$5:$C$9,MATCH($B$4,'5. El problema'!$A$5:$A$9,0))</f>
        <v>7</v>
      </c>
      <c r="D8" s="58">
        <f>INDEX('5. El problema'!$D$5:$D$9,MATCH($B$4,'5. El problema'!$A$5:$A$9,0))</f>
        <v>1</v>
      </c>
      <c r="E8" s="58">
        <f>INDEX('5. El problema'!$E$5:$E$9,MATCH($B$4,'5. El problema'!$A$5:$A$9,0))</f>
        <v>0.5</v>
      </c>
      <c r="F8" s="58">
        <f>INDEX('5. El problema'!$F$5:$F$9,MATCH($B$4,'5. El problema'!$A$5:$A$9,0))</f>
        <v>4</v>
      </c>
      <c r="G8" s="58">
        <f>INDEX('5. El problema'!$G$5:$G$9,MATCH($B$4,'5. El problema'!$A$5:$A$9,0))</f>
        <v>2.5</v>
      </c>
    </row>
    <row r="10" spans="1:17" s="75" customFormat="1" ht="45.75" customHeight="1" x14ac:dyDescent="0.2">
      <c r="A10" s="54" t="s">
        <v>135</v>
      </c>
      <c r="B10" s="54" t="s">
        <v>128</v>
      </c>
      <c r="C10" s="54" t="s">
        <v>129</v>
      </c>
      <c r="D10" s="54" t="s">
        <v>130</v>
      </c>
      <c r="E10" s="54" t="s">
        <v>131</v>
      </c>
      <c r="F10" s="54" t="s">
        <v>132</v>
      </c>
      <c r="G10" s="54" t="s">
        <v>133</v>
      </c>
      <c r="H10" s="54" t="s">
        <v>136</v>
      </c>
      <c r="I10" s="54" t="s">
        <v>137</v>
      </c>
      <c r="J10" s="54" t="s">
        <v>138</v>
      </c>
      <c r="K10" s="54" t="s">
        <v>139</v>
      </c>
      <c r="L10" s="54" t="s">
        <v>140</v>
      </c>
      <c r="M10" s="54" t="s">
        <v>141</v>
      </c>
      <c r="N10" s="54" t="s">
        <v>142</v>
      </c>
      <c r="O10" s="54" t="s">
        <v>143</v>
      </c>
      <c r="P10" s="54" t="s">
        <v>144</v>
      </c>
      <c r="Q10" s="54" t="s">
        <v>145</v>
      </c>
    </row>
    <row r="11" spans="1:17" x14ac:dyDescent="0.2">
      <c r="A11" s="57" t="s">
        <v>102</v>
      </c>
      <c r="B11" s="76">
        <f>IF($A11="","",INDEX('5. El problema'!$B$5:$B$9,MATCH($A11,'5. El problema'!$A$5:$A$9,0)))</f>
        <v>7</v>
      </c>
      <c r="C11" s="76">
        <f>IF($A11="","",INDEX('5. El problema'!$C$5:$C$9,MATCH($A11,'5. El problema'!$A$5:$A$9,0)))</f>
        <v>7</v>
      </c>
      <c r="D11" s="76">
        <f>IF($A11="","",INDEX('5. El problema'!$D$5:$D$9,MATCH($A11,'5. El problema'!$A$5:$A$9,0)))</f>
        <v>1</v>
      </c>
      <c r="E11" s="76">
        <f>IF($A11="","",INDEX('5. El problema'!$E$5:$E$9,MATCH($A11,'5. El problema'!$A$5:$A$9,0)))</f>
        <v>0.5</v>
      </c>
      <c r="F11" s="76">
        <f>IF($A11="","",INDEX('5. El problema'!$F$5:$F$9,MATCH($A11,'5. El problema'!$A$5:$A$9,0)))</f>
        <v>4</v>
      </c>
      <c r="G11" s="76">
        <f>IF($A11="","",INDEX('5. El problema'!$G$5:$G$9,MATCH($A11,'5. El problema'!$A$5:$A$9,0)))</f>
        <v>2.5</v>
      </c>
      <c r="H11" s="77">
        <f>IF($A11="","",SUMPRODUCT(B11:G11,$B$8:$G$8)/(SQRT(SUMSQ(B11:G11))*SQRT(SUMSQ($B$8:$G$8))))</f>
        <v>1.0000000000000002</v>
      </c>
      <c r="I11" s="77">
        <f>IF($A11="","",H11*$B$5)</f>
        <v>5.0000000000000009</v>
      </c>
      <c r="J11" s="15">
        <f>IF($A11="",0,EXP(I11))</f>
        <v>148.41315910257674</v>
      </c>
      <c r="K11" s="16">
        <f>J11/$J$14</f>
        <v>0.65422350176225108</v>
      </c>
      <c r="L11" s="15">
        <f t="shared" ref="L11:Q13" si="0">IF($A11="",0,$K11*B11)</f>
        <v>4.5795645123357573</v>
      </c>
      <c r="M11" s="15">
        <f t="shared" si="0"/>
        <v>4.5795645123357573</v>
      </c>
      <c r="N11" s="15">
        <f t="shared" si="0"/>
        <v>0.65422350176225108</v>
      </c>
      <c r="O11" s="15">
        <f t="shared" si="0"/>
        <v>0.32711175088112554</v>
      </c>
      <c r="P11" s="15">
        <f t="shared" si="0"/>
        <v>2.6168940070490043</v>
      </c>
      <c r="Q11" s="15">
        <f t="shared" si="0"/>
        <v>1.6355587544056278</v>
      </c>
    </row>
    <row r="12" spans="1:17" x14ac:dyDescent="0.2">
      <c r="A12" s="57" t="s">
        <v>19</v>
      </c>
      <c r="B12" s="76">
        <f>IF($A12="","",INDEX('5. El problema'!$B$5:$B$9,MATCH($A12,'5. El problema'!$A$5:$A$9,0)))</f>
        <v>4</v>
      </c>
      <c r="C12" s="76">
        <f>IF($A12="","",INDEX('5. El problema'!$C$5:$C$9,MATCH($A12,'5. El problema'!$A$5:$A$9,0)))</f>
        <v>4</v>
      </c>
      <c r="D12" s="76">
        <f>IF($A12="","",INDEX('5. El problema'!$D$5:$D$9,MATCH($A12,'5. El problema'!$A$5:$A$9,0)))</f>
        <v>2</v>
      </c>
      <c r="E12" s="76">
        <f>IF($A12="","",INDEX('5. El problema'!$E$5:$E$9,MATCH($A12,'5. El problema'!$A$5:$A$9,0)))</f>
        <v>1</v>
      </c>
      <c r="F12" s="76">
        <f>IF($A12="","",INDEX('5. El problema'!$F$5:$F$9,MATCH($A12,'5. El problema'!$A$5:$A$9,0)))</f>
        <v>8</v>
      </c>
      <c r="G12" s="76">
        <f>IF($A12="","",INDEX('5. El problema'!$G$5:$G$9,MATCH($A12,'5. El problema'!$A$5:$A$9,0)))</f>
        <v>5</v>
      </c>
      <c r="H12" s="77">
        <f>IF($A12="","",SUMPRODUCT(B12:G12,$B$8:$G$8)/(SQRT(SUMSQ(B12:G12))*SQRT(SUMSQ($B$8:$G$8))))</f>
        <v>0.83246084052989688</v>
      </c>
      <c r="I12" s="77">
        <f>IF($A12="","",H12*$B$5)</f>
        <v>4.1623042026494845</v>
      </c>
      <c r="J12" s="15">
        <f>IF($A12="",0,EXP(I12))</f>
        <v>64.219326591847548</v>
      </c>
      <c r="K12" s="16">
        <f>J12/$J$14</f>
        <v>0.28308670860306961</v>
      </c>
      <c r="L12" s="15">
        <f t="shared" si="0"/>
        <v>1.1323468344122785</v>
      </c>
      <c r="M12" s="15">
        <f t="shared" si="0"/>
        <v>1.1323468344122785</v>
      </c>
      <c r="N12" s="15">
        <f t="shared" si="0"/>
        <v>0.56617341720613923</v>
      </c>
      <c r="O12" s="15">
        <f t="shared" si="0"/>
        <v>0.28308670860306961</v>
      </c>
      <c r="P12" s="15">
        <f t="shared" si="0"/>
        <v>2.2646936688245569</v>
      </c>
      <c r="Q12" s="15">
        <f t="shared" si="0"/>
        <v>1.415433543015348</v>
      </c>
    </row>
    <row r="13" spans="1:17" x14ac:dyDescent="0.2">
      <c r="A13" s="57" t="s">
        <v>20</v>
      </c>
      <c r="B13" s="76">
        <f>IF($A13="","",INDEX('5. El problema'!$B$5:$B$9,MATCH($A13,'5. El problema'!$A$5:$A$9,0)))</f>
        <v>3</v>
      </c>
      <c r="C13" s="76">
        <f>IF($A13="","",INDEX('5. El problema'!$C$5:$C$9,MATCH($A13,'5. El problema'!$A$5:$A$9,0)))</f>
        <v>1</v>
      </c>
      <c r="D13" s="76">
        <f>IF($A13="","",INDEX('5. El problema'!$D$5:$D$9,MATCH($A13,'5. El problema'!$A$5:$A$9,0)))</f>
        <v>2</v>
      </c>
      <c r="E13" s="76">
        <f>IF($A13="","",INDEX('5. El problema'!$E$5:$E$9,MATCH($A13,'5. El problema'!$A$5:$A$9,0)))</f>
        <v>8</v>
      </c>
      <c r="F13" s="76">
        <f>IF($A13="","",INDEX('5. El problema'!$F$5:$F$9,MATCH($A13,'5. El problema'!$A$5:$A$9,0)))</f>
        <v>5</v>
      </c>
      <c r="G13" s="76">
        <f>IF($A13="","",INDEX('5. El problema'!$G$5:$G$9,MATCH($A13,'5. El problema'!$A$5:$A$9,0)))</f>
        <v>6</v>
      </c>
      <c r="H13" s="77">
        <f>IF($A13="","",SUMPRODUCT(B13:G13,$B$8:$G$8)/(SQRT(SUMSQ(B13:G13))*SQRT(SUMSQ($B$8:$G$8))))</f>
        <v>0.53094991014940696</v>
      </c>
      <c r="I13" s="77">
        <f>IF($A13="","",H13*$B$5)</f>
        <v>2.6547495507470349</v>
      </c>
      <c r="J13" s="15">
        <f>IF($A13="",0,EXP(I13))</f>
        <v>14.221423868291181</v>
      </c>
      <c r="K13" s="16">
        <f>J13/$J$14</f>
        <v>6.2689789634679235E-2</v>
      </c>
      <c r="L13" s="15">
        <f t="shared" si="0"/>
        <v>0.18806936890403769</v>
      </c>
      <c r="M13" s="15">
        <f t="shared" si="0"/>
        <v>6.2689789634679235E-2</v>
      </c>
      <c r="N13" s="15">
        <f t="shared" si="0"/>
        <v>0.12537957926935847</v>
      </c>
      <c r="O13" s="15">
        <f t="shared" si="0"/>
        <v>0.50151831707743388</v>
      </c>
      <c r="P13" s="15">
        <f t="shared" si="0"/>
        <v>0.31344894817339619</v>
      </c>
      <c r="Q13" s="15">
        <f t="shared" si="0"/>
        <v>0.37613873780807539</v>
      </c>
    </row>
    <row r="14" spans="1:17" x14ac:dyDescent="0.2">
      <c r="A14" s="57" t="s">
        <v>146</v>
      </c>
      <c r="B14" s="78"/>
      <c r="C14" s="78"/>
      <c r="D14" s="78"/>
      <c r="E14" s="78"/>
      <c r="F14" s="78"/>
      <c r="G14" s="78"/>
      <c r="H14" s="78"/>
      <c r="I14" s="78"/>
      <c r="J14" s="17">
        <f>SUM(J11:J13)</f>
        <v>226.85390956271547</v>
      </c>
      <c r="K14" s="16">
        <f>SUM(K11:K13)</f>
        <v>0.99999999999999989</v>
      </c>
      <c r="L14" s="17">
        <f>SUM(L11:L13)</f>
        <v>5.8999807156520729</v>
      </c>
      <c r="M14" s="17">
        <f>SUM(M11:M13)</f>
        <v>5.7746011363827146</v>
      </c>
      <c r="N14" s="17">
        <f>SUM(N11:N13)</f>
        <v>1.3457764982377487</v>
      </c>
      <c r="O14" s="17">
        <f>SUM(O11:O13)</f>
        <v>1.1117167765616291</v>
      </c>
      <c r="P14" s="17">
        <f>SUM(P11:P13)</f>
        <v>5.1950366240469572</v>
      </c>
      <c r="Q14" s="17">
        <f>SUM(Q11:Q13)</f>
        <v>3.4271310352290509</v>
      </c>
    </row>
    <row r="16" spans="1:17" ht="30" x14ac:dyDescent="0.2">
      <c r="A16" s="54"/>
      <c r="B16" s="54" t="s">
        <v>128</v>
      </c>
      <c r="C16" s="54" t="s">
        <v>129</v>
      </c>
      <c r="D16" s="54" t="s">
        <v>130</v>
      </c>
      <c r="E16" s="54" t="s">
        <v>131</v>
      </c>
      <c r="F16" s="54" t="s">
        <v>132</v>
      </c>
      <c r="G16" s="54" t="s">
        <v>133</v>
      </c>
    </row>
    <row r="17" spans="1:17" ht="15" customHeight="1" x14ac:dyDescent="0.2">
      <c r="A17" s="18" t="s">
        <v>147</v>
      </c>
      <c r="B17" s="19">
        <f t="shared" ref="B17:G17" si="1">L14</f>
        <v>5.8999807156520729</v>
      </c>
      <c r="C17" s="19">
        <f t="shared" si="1"/>
        <v>5.7746011363827146</v>
      </c>
      <c r="D17" s="19">
        <f t="shared" si="1"/>
        <v>1.3457764982377487</v>
      </c>
      <c r="E17" s="19">
        <f t="shared" si="1"/>
        <v>1.1117167765616291</v>
      </c>
      <c r="F17" s="19">
        <f t="shared" si="1"/>
        <v>5.1950366240469572</v>
      </c>
      <c r="G17" s="19">
        <f t="shared" si="1"/>
        <v>3.4271310352290509</v>
      </c>
      <c r="H17" s="3" t="s">
        <v>148</v>
      </c>
      <c r="I17" s="3"/>
      <c r="J17" s="3"/>
      <c r="K17" s="3"/>
      <c r="L17" s="3"/>
      <c r="M17" s="3"/>
      <c r="N17" s="3"/>
      <c r="O17" s="3"/>
      <c r="P17" s="3"/>
      <c r="Q17" s="3"/>
    </row>
    <row r="18" spans="1:17" x14ac:dyDescent="0.2">
      <c r="A18" s="57" t="s">
        <v>134</v>
      </c>
      <c r="B18" s="12">
        <f t="shared" ref="B18:G18" si="2">B8</f>
        <v>7</v>
      </c>
      <c r="C18" s="12">
        <f t="shared" si="2"/>
        <v>7</v>
      </c>
      <c r="D18" s="12">
        <f t="shared" si="2"/>
        <v>1</v>
      </c>
      <c r="E18" s="12">
        <f t="shared" si="2"/>
        <v>0.5</v>
      </c>
      <c r="F18" s="12">
        <f t="shared" si="2"/>
        <v>4</v>
      </c>
      <c r="G18" s="12">
        <f t="shared" si="2"/>
        <v>2.5</v>
      </c>
    </row>
    <row r="19" spans="1:17" x14ac:dyDescent="0.2">
      <c r="A19" s="57" t="s">
        <v>149</v>
      </c>
      <c r="B19" s="20">
        <f t="shared" ref="B19:G19" si="3">B17-B18</f>
        <v>-1.1000192843479271</v>
      </c>
      <c r="C19" s="20">
        <f t="shared" si="3"/>
        <v>-1.2253988636172854</v>
      </c>
      <c r="D19" s="20">
        <f t="shared" si="3"/>
        <v>0.3457764982377487</v>
      </c>
      <c r="E19" s="20">
        <f t="shared" si="3"/>
        <v>0.61171677656162915</v>
      </c>
      <c r="F19" s="20">
        <f t="shared" si="3"/>
        <v>1.1950366240469572</v>
      </c>
      <c r="G19" s="20">
        <f t="shared" si="3"/>
        <v>0.92713103522905094</v>
      </c>
    </row>
    <row r="21" spans="1:17" ht="17" x14ac:dyDescent="0.2">
      <c r="A21" s="55" t="s">
        <v>157</v>
      </c>
    </row>
    <row r="22" spans="1:17" ht="45" x14ac:dyDescent="0.2">
      <c r="A22" s="54"/>
      <c r="B22" s="54" t="s">
        <v>152</v>
      </c>
      <c r="C22" s="54" t="s">
        <v>151</v>
      </c>
      <c r="D22" s="54" t="s">
        <v>158</v>
      </c>
    </row>
    <row r="23" spans="1:17" x14ac:dyDescent="0.2">
      <c r="A23" s="57" t="s">
        <v>154</v>
      </c>
      <c r="B23" s="12">
        <f>SUMPRODUCT($B$18:$G$18,'5. El problema'!$B$6:$G$6)/(SQRT(SUMSQ($B$18:$G$18))*SQRT(SUMSQ('5. El problema'!$B$6:$G$6)))</f>
        <v>0.83246084052989688</v>
      </c>
      <c r="C23" s="12">
        <f>SUMPRODUCT($B$18:$G$18,'5. El problema'!$B$8:$G$8)/(SQRT(SUMSQ($B$18:$G$18))*SQRT(SUMSQ('5. El problema'!$B$8:$G$8)))</f>
        <v>0.89810041873941782</v>
      </c>
      <c r="D23" s="12">
        <f>B23-C23</f>
        <v>-6.5639578209520932E-2</v>
      </c>
    </row>
    <row r="24" spans="1:17" x14ac:dyDescent="0.2">
      <c r="A24" s="18" t="s">
        <v>155</v>
      </c>
      <c r="B24" s="19">
        <f>SUMPRODUCT($B$17:$G$17,'5. El problema'!$B$6:$G$6)/(SQRT(SUMSQ($B$17:$G$17))*SQRT(SUMSQ('5. El problema'!$B$6:$G$6)))</f>
        <v>0.92780507791603373</v>
      </c>
      <c r="C24" s="19">
        <f>SUMPRODUCT($B$17:$G$17,'5. El problema'!$B$8:$G$8)/(SQRT(SUMSQ($B$17:$G$17))*SQRT(SUMSQ('5. El problema'!$B$8:$G$8)))</f>
        <v>0.78732760404568036</v>
      </c>
      <c r="D24" s="19">
        <f>B24-C24</f>
        <v>0.14047747387035336</v>
      </c>
    </row>
    <row r="25" spans="1:17" x14ac:dyDescent="0.2">
      <c r="A25" s="57" t="s">
        <v>149</v>
      </c>
      <c r="B25" s="20">
        <f>B24-B23</f>
        <v>9.5344237386136843E-2</v>
      </c>
      <c r="C25" s="20">
        <f>C24-C23</f>
        <v>-0.11077281469373745</v>
      </c>
      <c r="D25" s="20">
        <f>D24-D23</f>
        <v>0.2061170520798743</v>
      </c>
    </row>
    <row r="27" spans="1:17" ht="21.75" customHeight="1" x14ac:dyDescent="0.2">
      <c r="A27" s="72" t="s">
        <v>170</v>
      </c>
      <c r="B27" s="79" t="str">
        <f>IF(AND(B25&gt;0,C25&lt;0),"Sí se cumple: «jaguar» se acercó a «gato» (de "&amp;FIXED(B23,2)&amp;" a "&amp;FIXED(B24,2)&amp;") y se alejó de «auto» (de "&amp;FIXED(C23,2)&amp;" a "&amp;FIXED(C24,2)&amp;").","No se cumple del todo: revisa la escala o las palabras de la oración.")</f>
        <v>Sí se cumple: «jaguar» se acercó a «gato» (de 0,83 a 0,93) y se alejó de «auto» (de 0,90 a 0,79).</v>
      </c>
      <c r="C27" s="79"/>
      <c r="D27" s="79"/>
      <c r="E27" s="79"/>
      <c r="F27" s="79"/>
      <c r="G27" s="79"/>
      <c r="H27" s="79"/>
      <c r="I27" s="79"/>
      <c r="J27" s="79"/>
      <c r="K27" s="79"/>
      <c r="L27" s="79"/>
      <c r="M27" s="79"/>
      <c r="N27" s="79"/>
      <c r="O27" s="79"/>
      <c r="P27" s="79"/>
      <c r="Q27" s="79"/>
    </row>
    <row r="28" spans="1:17" ht="30" customHeight="1" x14ac:dyDescent="0.2">
      <c r="A28" s="3" t="s">
        <v>156</v>
      </c>
      <c r="B28" s="3"/>
      <c r="C28" s="3"/>
      <c r="D28" s="3"/>
      <c r="E28" s="3"/>
      <c r="F28" s="3"/>
      <c r="G28" s="3"/>
      <c r="H28" s="3"/>
      <c r="I28" s="3"/>
      <c r="J28" s="3"/>
      <c r="K28" s="3"/>
      <c r="L28" s="3"/>
      <c r="M28" s="3"/>
      <c r="N28" s="3"/>
      <c r="O28" s="3"/>
      <c r="P28" s="3"/>
      <c r="Q28" s="3"/>
    </row>
  </sheetData>
  <mergeCells count="4">
    <mergeCell ref="A2:Q2"/>
    <mergeCell ref="H17:Q17"/>
    <mergeCell ref="B27:Q27"/>
    <mergeCell ref="A28:Q28"/>
  </mergeCells>
  <conditionalFormatting sqref="K11:K13">
    <cfRule type="dataBar" priority="2">
      <dataBar>
        <cfvo type="num" val="0"/>
        <cfvo type="num" val="1"/>
        <color rgb="FF7FB3A6"/>
      </dataBar>
      <extLst>
        <ext xmlns:x14="http://schemas.microsoft.com/office/spreadsheetml/2009/9/main" uri="{B025F937-C7B1-47D3-B67F-A62EFF666E3E}">
          <x14:id>{5E8196F0-F049-4DCE-8913-A0D3DD743A14}</x14:id>
        </ext>
      </extLs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5E8196F0-F049-4DCE-8913-A0D3DD743A14}">
            <x14:dataBar axisPosition="none">
              <x14:cfvo type="num">
                <xm:f>0</xm:f>
              </x14:cfvo>
              <x14:cfvo type="num">
                <xm:f>1</xm:f>
              </x14:cfvo>
              <x14:negativeFillColor rgb="FF7FB3A6"/>
            </x14:dataBar>
          </x14:cfRule>
          <xm:sqref>K11:K13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9"/>
  <sheetViews>
    <sheetView showGridLines="0" tabSelected="1" zoomScale="150" zoomScaleNormal="150" workbookViewId="0">
      <pane ySplit="1" topLeftCell="A2" activePane="bottomLeft" state="frozen"/>
      <selection pane="bottomLeft" activeCell="F10" sqref="F10"/>
    </sheetView>
  </sheetViews>
  <sheetFormatPr baseColWidth="10" defaultColWidth="19" defaultRowHeight="15" x14ac:dyDescent="0.2"/>
  <cols>
    <col min="1" max="1" width="26.33203125" customWidth="1"/>
  </cols>
  <sheetData>
    <row r="1" spans="1:15" s="27" customFormat="1" ht="40" customHeight="1" x14ac:dyDescent="0.25">
      <c r="A1" s="32" t="s">
        <v>159</v>
      </c>
      <c r="B1" s="33"/>
      <c r="C1" s="33"/>
    </row>
    <row r="2" spans="1:15" ht="15" customHeight="1" x14ac:dyDescent="0.2">
      <c r="A2" s="3" t="s">
        <v>160</v>
      </c>
      <c r="B2" s="3"/>
      <c r="C2" s="3"/>
      <c r="D2" s="3"/>
      <c r="E2" s="3"/>
      <c r="F2" s="3"/>
      <c r="G2" s="3"/>
      <c r="H2" s="3"/>
      <c r="I2" s="3"/>
    </row>
    <row r="4" spans="1:15" ht="31.5" customHeight="1" x14ac:dyDescent="0.2">
      <c r="A4" s="54" t="s">
        <v>161</v>
      </c>
      <c r="B4" s="54" t="s">
        <v>128</v>
      </c>
      <c r="C4" s="54" t="s">
        <v>129</v>
      </c>
      <c r="D4" s="54" t="s">
        <v>130</v>
      </c>
      <c r="E4" s="54" t="s">
        <v>131</v>
      </c>
      <c r="F4" s="54" t="s">
        <v>132</v>
      </c>
      <c r="G4" s="54" t="s">
        <v>133</v>
      </c>
      <c r="H4" s="54" t="s">
        <v>152</v>
      </c>
      <c r="I4" s="54" t="s">
        <v>151</v>
      </c>
    </row>
    <row r="5" spans="1:15" x14ac:dyDescent="0.2">
      <c r="A5" s="57" t="s">
        <v>19</v>
      </c>
      <c r="B5" s="76">
        <f>'5. El problema'!B6</f>
        <v>4</v>
      </c>
      <c r="C5" s="76">
        <f>'5. El problema'!C6</f>
        <v>4</v>
      </c>
      <c r="D5" s="76">
        <f>'5. El problema'!D6</f>
        <v>2</v>
      </c>
      <c r="E5" s="76">
        <f>'5. El problema'!E6</f>
        <v>1</v>
      </c>
      <c r="F5" s="76">
        <f>'5. El problema'!F6</f>
        <v>8</v>
      </c>
      <c r="G5" s="76">
        <f>'5. El problema'!G6</f>
        <v>5</v>
      </c>
      <c r="H5" s="81">
        <f>SUMPRODUCT($B$5:$G$5,$B$5:$G$5)/(SQRT(SUMSQ($B$5:$G$5))*SQRT(SUMSQ($B$5:$G$5)))</f>
        <v>1</v>
      </c>
      <c r="I5" s="81">
        <f>SUMPRODUCT($B$5:$G$5,$B$6:$G$6)/(SQRT(SUMSQ($B$5:$G$5))*SQRT(SUMSQ($B$6:$G$6)))</f>
        <v>0.50395263067896967</v>
      </c>
    </row>
    <row r="6" spans="1:15" x14ac:dyDescent="0.2">
      <c r="A6" s="57" t="s">
        <v>21</v>
      </c>
      <c r="B6" s="76">
        <f>'5. El problema'!B8</f>
        <v>10</v>
      </c>
      <c r="C6" s="76">
        <f>'5. El problema'!C8</f>
        <v>10</v>
      </c>
      <c r="D6" s="76">
        <f>'5. El problema'!D8</f>
        <v>0</v>
      </c>
      <c r="E6" s="76">
        <f>'5. El problema'!E8</f>
        <v>0</v>
      </c>
      <c r="F6" s="76">
        <f>'5. El problema'!F8</f>
        <v>0</v>
      </c>
      <c r="G6" s="76">
        <f>'5. El problema'!G8</f>
        <v>0</v>
      </c>
      <c r="H6" s="81">
        <f>SUMPRODUCT($B$6:$G$6,$B$5:$G$5)/(SQRT(SUMSQ($B$6:$G$6))*SQRT(SUMSQ($B$5:$G$5)))</f>
        <v>0.50395263067896967</v>
      </c>
      <c r="I6" s="81">
        <f>SUMPRODUCT($B$6:$G$6,$B$6:$G$6)/(SQRT(SUMSQ($B$6:$G$6))*SQRT(SUMSQ($B$6:$G$6)))</f>
        <v>0.99999999999999989</v>
      </c>
    </row>
    <row r="7" spans="1:15" x14ac:dyDescent="0.2">
      <c r="A7" s="57" t="s">
        <v>162</v>
      </c>
      <c r="B7" s="76">
        <f>'5. El problema'!B9</f>
        <v>7</v>
      </c>
      <c r="C7" s="76">
        <f>'5. El problema'!C9</f>
        <v>7</v>
      </c>
      <c r="D7" s="76">
        <f>'5. El problema'!D9</f>
        <v>1</v>
      </c>
      <c r="E7" s="76">
        <f>'5. El problema'!E9</f>
        <v>0.5</v>
      </c>
      <c r="F7" s="76">
        <f>'5. El problema'!F9</f>
        <v>4</v>
      </c>
      <c r="G7" s="76">
        <f>'5. El problema'!G9</f>
        <v>2.5</v>
      </c>
      <c r="H7" s="81">
        <f>SUMPRODUCT($B$7:$G$7,$B$5:$G$5)/(SQRT(SUMSQ($B$7:$G$7))*SQRT(SUMSQ($B$5:$G$5)))</f>
        <v>0.83246084052989688</v>
      </c>
      <c r="I7" s="81">
        <f>SUMPRODUCT($B$7:$G$7,$B$6:$G$6)/(SQRT(SUMSQ($B$7:$G$7))*SQRT(SUMSQ($B$6:$G$6)))</f>
        <v>0.89810041873941782</v>
      </c>
    </row>
    <row r="8" spans="1:15" x14ac:dyDescent="0.2">
      <c r="A8" s="57" t="s">
        <v>163</v>
      </c>
      <c r="B8" s="76">
        <f>'6. Atención A'!B16</f>
        <v>8.1259337061663111</v>
      </c>
      <c r="C8" s="76">
        <f>'6. Atención A'!C16</f>
        <v>8.1259337061663111</v>
      </c>
      <c r="D8" s="76">
        <f>'6. Atención A'!D16</f>
        <v>0.62468876461122957</v>
      </c>
      <c r="E8" s="76">
        <f>'6. Atención A'!E16</f>
        <v>0.31234438230561479</v>
      </c>
      <c r="F8" s="76">
        <f>'6. Atención A'!F16</f>
        <v>2.4987550584449183</v>
      </c>
      <c r="G8" s="76">
        <f>'6. Atención A'!G16</f>
        <v>1.5617219115280738</v>
      </c>
      <c r="H8" s="82">
        <f>SUMPRODUCT($B$8:$G$8,$B$5:$G$5)/(SQRT(SUMSQ($B$8:$G$8))*SQRT(SUMSQ($B$5:$G$5)))</f>
        <v>0.70741126700524026</v>
      </c>
      <c r="I8" s="82">
        <f>SUMPRODUCT($B$8:$G$8,$B$6:$G$6)/(SQRT(SUMSQ($B$8:$G$8))*SQRT(SUMSQ($B$6:$G$6)))</f>
        <v>0.96698891596196079</v>
      </c>
    </row>
    <row r="9" spans="1:15" x14ac:dyDescent="0.2">
      <c r="A9" s="57" t="s">
        <v>164</v>
      </c>
      <c r="B9" s="76">
        <f>'7. Atención B'!B17</f>
        <v>5.8999807156520729</v>
      </c>
      <c r="C9" s="76">
        <f>'7. Atención B'!C17</f>
        <v>5.7746011363827146</v>
      </c>
      <c r="D9" s="76">
        <f>'7. Atención B'!D17</f>
        <v>1.3457764982377487</v>
      </c>
      <c r="E9" s="76">
        <f>'7. Atención B'!E17</f>
        <v>1.1117167765616291</v>
      </c>
      <c r="F9" s="76">
        <f>'7. Atención B'!F17</f>
        <v>5.1950366240469572</v>
      </c>
      <c r="G9" s="76">
        <f>'7. Atención B'!G17</f>
        <v>3.4271310352290509</v>
      </c>
      <c r="H9" s="82">
        <f>SUMPRODUCT($B$9:$G$9,$B$5:$G$5)/(SQRT(SUMSQ($B$9:$G$9))*SQRT(SUMSQ($B$5:$G$5)))</f>
        <v>0.92780507791603373</v>
      </c>
      <c r="I9" s="82">
        <f>SUMPRODUCT($B$9:$G$9,$B$6:$G$6)/(SQRT(SUMSQ($B$9:$G$9))*SQRT(SUMSQ($B$6:$G$6)))</f>
        <v>0.78732760404568036</v>
      </c>
    </row>
    <row r="11" spans="1:15" ht="28" customHeight="1" x14ac:dyDescent="0.2">
      <c r="A11" s="3" t="s">
        <v>165</v>
      </c>
      <c r="B11" s="3"/>
      <c r="C11" s="3"/>
      <c r="D11" s="3"/>
      <c r="E11" s="3"/>
      <c r="F11" s="3"/>
      <c r="G11" s="3"/>
      <c r="H11" s="3"/>
      <c r="I11" s="3"/>
    </row>
    <row r="13" spans="1:15" ht="15" customHeight="1" x14ac:dyDescent="0.2">
      <c r="F13" s="21" t="s">
        <v>0</v>
      </c>
      <c r="G13" s="21"/>
      <c r="H13" s="21"/>
      <c r="I13" s="21"/>
      <c r="J13" s="83"/>
      <c r="K13" s="83"/>
      <c r="L13" s="83"/>
      <c r="M13" s="83"/>
      <c r="N13" s="83"/>
      <c r="O13" s="83"/>
    </row>
    <row r="14" spans="1:15" ht="15" customHeight="1" x14ac:dyDescent="0.2">
      <c r="F14" s="21"/>
      <c r="G14" s="21"/>
      <c r="H14" s="21"/>
      <c r="I14" s="21"/>
      <c r="J14" s="83"/>
      <c r="K14" s="83"/>
      <c r="L14" s="83"/>
      <c r="M14" s="83"/>
      <c r="N14" s="83"/>
      <c r="O14" s="83"/>
    </row>
    <row r="15" spans="1:15" x14ac:dyDescent="0.2">
      <c r="F15" s="21"/>
      <c r="G15" s="21"/>
      <c r="H15" s="21"/>
      <c r="I15" s="21"/>
      <c r="J15" s="83"/>
      <c r="K15" s="83"/>
      <c r="L15" s="83"/>
      <c r="M15" s="83"/>
      <c r="N15" s="83"/>
      <c r="O15" s="83"/>
    </row>
    <row r="16" spans="1:15" x14ac:dyDescent="0.2">
      <c r="F16" s="21"/>
      <c r="G16" s="21"/>
      <c r="H16" s="21"/>
      <c r="I16" s="21"/>
      <c r="J16" s="83"/>
      <c r="K16" s="83"/>
      <c r="L16" s="83"/>
      <c r="M16" s="83"/>
      <c r="N16" s="83"/>
      <c r="O16" s="83"/>
    </row>
    <row r="17" spans="6:15" x14ac:dyDescent="0.2">
      <c r="F17" s="21"/>
      <c r="G17" s="21"/>
      <c r="H17" s="21"/>
      <c r="I17" s="21"/>
      <c r="J17" s="83"/>
      <c r="K17" s="83"/>
      <c r="L17" s="83"/>
      <c r="M17" s="83"/>
      <c r="N17" s="83"/>
      <c r="O17" s="83"/>
    </row>
    <row r="18" spans="6:15" x14ac:dyDescent="0.2">
      <c r="F18" s="83"/>
      <c r="G18" s="83"/>
      <c r="H18" s="83"/>
      <c r="I18" s="83"/>
      <c r="J18" s="83"/>
      <c r="K18" s="83"/>
      <c r="L18" s="83"/>
      <c r="M18" s="83"/>
      <c r="N18" s="83"/>
      <c r="O18" s="83"/>
    </row>
    <row r="19" spans="6:15" x14ac:dyDescent="0.2">
      <c r="F19" s="83"/>
      <c r="G19" s="83"/>
      <c r="H19" s="83"/>
      <c r="I19" s="83"/>
      <c r="J19" s="83"/>
      <c r="K19" s="83"/>
      <c r="L19" s="83"/>
      <c r="M19" s="83"/>
      <c r="N19" s="83"/>
      <c r="O19" s="83"/>
    </row>
  </sheetData>
  <mergeCells count="3">
    <mergeCell ref="A2:I2"/>
    <mergeCell ref="A11:I11"/>
    <mergeCell ref="F13:I17"/>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Hojas de cálculo</vt:lpstr>
      </vt:variant>
      <vt:variant>
        <vt:i4>9</vt:i4>
      </vt:variant>
      <vt:variant>
        <vt:lpstr>Rangos con nombre</vt:lpstr>
      </vt:variant>
      <vt:variant>
        <vt:i4>4</vt:i4>
      </vt:variant>
    </vt:vector>
  </HeadingPairs>
  <TitlesOfParts>
    <vt:vector size="13" baseType="lpstr">
      <vt:lpstr>Instrucciones</vt:lpstr>
      <vt:lpstr>1. Rasgos manuales</vt:lpstr>
      <vt:lpstr>2. Corpus</vt:lpstr>
      <vt:lpstr>3. Coocurrencia</vt:lpstr>
      <vt:lpstr>4. Qué mejorar</vt:lpstr>
      <vt:lpstr>5. El problema</vt:lpstr>
      <vt:lpstr>6. Atención A</vt:lpstr>
      <vt:lpstr>7. Atención B</vt:lpstr>
      <vt:lpstr>8. Comparación</vt:lpstr>
      <vt:lpstr>v_auto</vt:lpstr>
      <vt:lpstr>v_conejo</vt:lpstr>
      <vt:lpstr>v_gato</vt:lpstr>
      <vt:lpstr>v_perro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Franco Mansilla IbaÃ±ez</cp:lastModifiedBy>
  <cp:revision>1</cp:revision>
  <dcterms:created xsi:type="dcterms:W3CDTF">2026-06-30T20:39:16Z</dcterms:created>
  <dcterms:modified xsi:type="dcterms:W3CDTF">2026-10-05T00:11:35Z</dcterms:modified>
  <dc:language>en-US</dc:language>
</cp:coreProperties>
</file>