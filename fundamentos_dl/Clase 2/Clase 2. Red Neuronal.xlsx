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mayor/Certificación 2/1. Fundamentos Deep Learning/Clases/"/>
    </mc:Choice>
  </mc:AlternateContent>
  <xr:revisionPtr revIDLastSave="0" documentId="13_ncr:1_{27D50362-063B-CE4E-9A86-8E984BD69E1F}" xr6:coauthVersionLast="47" xr6:coauthVersionMax="47" xr10:uidLastSave="{00000000-0000-0000-0000-000000000000}"/>
  <bookViews>
    <workbookView xWindow="-38400" yWindow="620" windowWidth="38400" windowHeight="20980" xr2:uid="{45B48B83-CC1D-3A42-936F-AF04B9ED83E5}"/>
  </bookViews>
  <sheets>
    <sheet name="E1. 1c1n" sheetId="1" r:id="rId1"/>
    <sheet name="E2. 1c2n" sheetId="2" r:id="rId2"/>
    <sheet name="E3. 1c2n Sigmoid" sheetId="3" r:id="rId3"/>
    <sheet name="E4. 2c1n Sigmoid" sheetId="4" r:id="rId4"/>
    <sheet name="Qué se modifica" sheetId="5" r:id="rId5"/>
  </sheets>
  <definedNames>
    <definedName name="solver_adj" localSheetId="0" hidden="1">'E1. 1c1n'!$J$2:$J$4,'E1. 1c1n'!$L$2:$L$4</definedName>
    <definedName name="solver_adj" localSheetId="1" hidden="1">'E2. 1c2n'!$J$2:$K$4,'E2. 1c2n'!$M$2:$M$4</definedName>
    <definedName name="solver_adj" localSheetId="2" hidden="1">'E3. 1c2n Sigmoid'!$J$2:$K$4,'E3. 1c2n Sigmoid'!$M$2:$M$4</definedName>
    <definedName name="solver_adj" localSheetId="3" hidden="1">'E4. 2c1n Sigmoid'!$J$2:$K$4,'E4. 2c1n Sigmoid'!$M$2:$M$4,'E4. 2c1n Sigmoid'!$O$2:$O$3</definedName>
    <definedName name="solver_adj" localSheetId="4" hidden="1">'Qué se modifica'!$J$2:$K$4,'Qué se modifica'!$M$2:$M$4,'Qué se modifica'!$O$2:$O$3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lin" localSheetId="4" hidden="1">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opt" localSheetId="0" hidden="1">'E1. 1c1n'!$N$6</definedName>
    <definedName name="solver_opt" localSheetId="1" hidden="1">'E2. 1c2n'!$O$6</definedName>
    <definedName name="solver_opt" localSheetId="2" hidden="1">'E3. 1c2n Sigmoid'!$O$6</definedName>
    <definedName name="solver_opt" localSheetId="3" hidden="1">'E4. 2c1n Sigmoid'!$Q$6</definedName>
    <definedName name="solver_opt" localSheetId="4" hidden="1">'Qué se modifica'!$Q$6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solver_ver" localSheetId="3" hidden="1">2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5" l="1"/>
  <c r="G27" i="5"/>
  <c r="K27" i="5" s="1"/>
  <c r="H26" i="5"/>
  <c r="J26" i="5" s="1"/>
  <c r="G26" i="5"/>
  <c r="H25" i="5"/>
  <c r="G25" i="5"/>
  <c r="H24" i="5"/>
  <c r="G24" i="5"/>
  <c r="H23" i="5"/>
  <c r="G23" i="5"/>
  <c r="K23" i="5" s="1"/>
  <c r="H22" i="5"/>
  <c r="G22" i="5"/>
  <c r="K22" i="5" s="1"/>
  <c r="H21" i="5"/>
  <c r="G21" i="5"/>
  <c r="K20" i="5"/>
  <c r="J20" i="5"/>
  <c r="H20" i="5"/>
  <c r="G20" i="5"/>
  <c r="H19" i="5"/>
  <c r="G19" i="5"/>
  <c r="H18" i="5"/>
  <c r="G18" i="5"/>
  <c r="K18" i="5" s="1"/>
  <c r="H17" i="5"/>
  <c r="G17" i="5"/>
  <c r="K17" i="5" s="1"/>
  <c r="H16" i="5"/>
  <c r="G16" i="5"/>
  <c r="H15" i="5"/>
  <c r="G15" i="5"/>
  <c r="H14" i="5"/>
  <c r="G14" i="5"/>
  <c r="K14" i="5" s="1"/>
  <c r="H13" i="5"/>
  <c r="G13" i="5"/>
  <c r="J13" i="5" s="1"/>
  <c r="H12" i="5"/>
  <c r="G12" i="5"/>
  <c r="K12" i="5" s="1"/>
  <c r="K11" i="5"/>
  <c r="H11" i="5"/>
  <c r="G11" i="5"/>
  <c r="H10" i="5"/>
  <c r="G10" i="5"/>
  <c r="J10" i="5" s="1"/>
  <c r="H9" i="5"/>
  <c r="G9" i="5"/>
  <c r="H8" i="5"/>
  <c r="G8" i="5"/>
  <c r="K8" i="5" s="1"/>
  <c r="H27" i="4"/>
  <c r="G27" i="4"/>
  <c r="H26" i="4"/>
  <c r="G26" i="4"/>
  <c r="H25" i="4"/>
  <c r="G25" i="4"/>
  <c r="H24" i="4"/>
  <c r="G24" i="4"/>
  <c r="K24" i="4" s="1"/>
  <c r="H23" i="4"/>
  <c r="G23" i="4"/>
  <c r="H22" i="4"/>
  <c r="G22" i="4"/>
  <c r="H21" i="4"/>
  <c r="G21" i="4"/>
  <c r="K21" i="4" s="1"/>
  <c r="H20" i="4"/>
  <c r="G20" i="4"/>
  <c r="K20" i="4" s="1"/>
  <c r="H19" i="4"/>
  <c r="G19" i="4"/>
  <c r="H18" i="4"/>
  <c r="G18" i="4"/>
  <c r="J18" i="4" s="1"/>
  <c r="H17" i="4"/>
  <c r="G17" i="4"/>
  <c r="H16" i="4"/>
  <c r="G16" i="4"/>
  <c r="J16" i="4" s="1"/>
  <c r="H15" i="4"/>
  <c r="G15" i="4"/>
  <c r="K15" i="4" s="1"/>
  <c r="H14" i="4"/>
  <c r="G14" i="4"/>
  <c r="J14" i="4" s="1"/>
  <c r="H13" i="4"/>
  <c r="G13" i="4"/>
  <c r="H12" i="4"/>
  <c r="G12" i="4"/>
  <c r="H11" i="4"/>
  <c r="G11" i="4"/>
  <c r="J11" i="4" s="1"/>
  <c r="H10" i="4"/>
  <c r="G10" i="4"/>
  <c r="H9" i="4"/>
  <c r="G9" i="4"/>
  <c r="J9" i="4" s="1"/>
  <c r="H8" i="4"/>
  <c r="G8" i="4"/>
  <c r="H27" i="3"/>
  <c r="K27" i="3" s="1"/>
  <c r="G27" i="3"/>
  <c r="H26" i="3"/>
  <c r="G26" i="3"/>
  <c r="K26" i="3" s="1"/>
  <c r="H25" i="3"/>
  <c r="G25" i="3"/>
  <c r="K25" i="3" s="1"/>
  <c r="H24" i="3"/>
  <c r="K24" i="3" s="1"/>
  <c r="G24" i="3"/>
  <c r="H23" i="3"/>
  <c r="G23" i="3"/>
  <c r="H22" i="3"/>
  <c r="G22" i="3"/>
  <c r="K22" i="3" s="1"/>
  <c r="H21" i="3"/>
  <c r="G21" i="3"/>
  <c r="K21" i="3" s="1"/>
  <c r="H20" i="3"/>
  <c r="G20" i="3"/>
  <c r="K20" i="3" s="1"/>
  <c r="K19" i="3"/>
  <c r="J19" i="3"/>
  <c r="H19" i="3"/>
  <c r="G19" i="3"/>
  <c r="H18" i="3"/>
  <c r="G18" i="3"/>
  <c r="K18" i="3" s="1"/>
  <c r="H17" i="3"/>
  <c r="G17" i="3"/>
  <c r="K17" i="3" s="1"/>
  <c r="H16" i="3"/>
  <c r="G16" i="3"/>
  <c r="K16" i="3" s="1"/>
  <c r="H15" i="3"/>
  <c r="G15" i="3"/>
  <c r="H14" i="3"/>
  <c r="G14" i="3"/>
  <c r="K14" i="3" s="1"/>
  <c r="H13" i="3"/>
  <c r="G13" i="3"/>
  <c r="K13" i="3" s="1"/>
  <c r="H12" i="3"/>
  <c r="G12" i="3"/>
  <c r="K12" i="3" s="1"/>
  <c r="H11" i="3"/>
  <c r="G11" i="3"/>
  <c r="H10" i="3"/>
  <c r="G10" i="3"/>
  <c r="H9" i="3"/>
  <c r="G9" i="3"/>
  <c r="K9" i="3" s="1"/>
  <c r="H8" i="3"/>
  <c r="G8" i="3"/>
  <c r="K8" i="3" s="1"/>
  <c r="K9" i="2"/>
  <c r="K10" i="2"/>
  <c r="K16" i="2"/>
  <c r="K19" i="2"/>
  <c r="K20" i="2"/>
  <c r="K25" i="2"/>
  <c r="K26" i="2"/>
  <c r="H27" i="2"/>
  <c r="J27" i="2" s="1"/>
  <c r="G27" i="2"/>
  <c r="K27" i="2" s="1"/>
  <c r="H26" i="2"/>
  <c r="G26" i="2"/>
  <c r="J26" i="2" s="1"/>
  <c r="H25" i="2"/>
  <c r="G25" i="2"/>
  <c r="H24" i="2"/>
  <c r="G24" i="2"/>
  <c r="K24" i="2" s="1"/>
  <c r="H23" i="2"/>
  <c r="G23" i="2"/>
  <c r="J23" i="2" s="1"/>
  <c r="H22" i="2"/>
  <c r="G22" i="2"/>
  <c r="H21" i="2"/>
  <c r="G21" i="2"/>
  <c r="K21" i="2" s="1"/>
  <c r="H20" i="2"/>
  <c r="G20" i="2"/>
  <c r="J20" i="2" s="1"/>
  <c r="H19" i="2"/>
  <c r="G19" i="2"/>
  <c r="J19" i="2" s="1"/>
  <c r="H18" i="2"/>
  <c r="G18" i="2"/>
  <c r="J18" i="2" s="1"/>
  <c r="H17" i="2"/>
  <c r="K17" i="2" s="1"/>
  <c r="G17" i="2"/>
  <c r="H16" i="2"/>
  <c r="G16" i="2"/>
  <c r="J16" i="2" s="1"/>
  <c r="H15" i="2"/>
  <c r="G15" i="2"/>
  <c r="K15" i="2" s="1"/>
  <c r="H14" i="2"/>
  <c r="G14" i="2"/>
  <c r="J14" i="2" s="1"/>
  <c r="H13" i="2"/>
  <c r="G13" i="2"/>
  <c r="K13" i="2" s="1"/>
  <c r="H12" i="2"/>
  <c r="G12" i="2"/>
  <c r="K12" i="2" s="1"/>
  <c r="H11" i="2"/>
  <c r="G11" i="2"/>
  <c r="K11" i="2" s="1"/>
  <c r="H10" i="2"/>
  <c r="G10" i="2"/>
  <c r="J10" i="2" s="1"/>
  <c r="H9" i="2"/>
  <c r="G9" i="2"/>
  <c r="H8" i="2"/>
  <c r="G8" i="2"/>
  <c r="J8" i="2" s="1"/>
  <c r="J22" i="2" l="1"/>
  <c r="J11" i="3"/>
  <c r="K15" i="3"/>
  <c r="J13" i="4"/>
  <c r="J16" i="5"/>
  <c r="M20" i="5"/>
  <c r="O20" i="5" s="1"/>
  <c r="Q20" i="5" s="1"/>
  <c r="K25" i="5"/>
  <c r="K18" i="2"/>
  <c r="M18" i="2" s="1"/>
  <c r="Q18" i="2" s="1"/>
  <c r="R18" i="2" s="1"/>
  <c r="K8" i="2"/>
  <c r="M8" i="2" s="1"/>
  <c r="Q8" i="2" s="1"/>
  <c r="R8" i="2" s="1"/>
  <c r="J24" i="3"/>
  <c r="J21" i="5"/>
  <c r="K14" i="4"/>
  <c r="M14" i="4" s="1"/>
  <c r="O14" i="4" s="1"/>
  <c r="Q14" i="4" s="1"/>
  <c r="K23" i="2"/>
  <c r="K22" i="2"/>
  <c r="M22" i="2" s="1"/>
  <c r="Q22" i="2" s="1"/>
  <c r="R22" i="2" s="1"/>
  <c r="K10" i="3"/>
  <c r="J14" i="3"/>
  <c r="M14" i="3" s="1"/>
  <c r="O14" i="3" s="1"/>
  <c r="K23" i="3"/>
  <c r="K10" i="5"/>
  <c r="M10" i="5" s="1"/>
  <c r="O10" i="5" s="1"/>
  <c r="K15" i="5"/>
  <c r="K19" i="4"/>
  <c r="K9" i="5"/>
  <c r="K21" i="5"/>
  <c r="J15" i="2"/>
  <c r="K14" i="2"/>
  <c r="J9" i="3"/>
  <c r="J19" i="5"/>
  <c r="J27" i="5"/>
  <c r="M27" i="5" s="1"/>
  <c r="O27" i="5" s="1"/>
  <c r="S27" i="5" s="1"/>
  <c r="T27" i="5" s="1"/>
  <c r="J12" i="2"/>
  <c r="M12" i="2" s="1"/>
  <c r="O12" i="2" s="1"/>
  <c r="J17" i="2"/>
  <c r="M17" i="2" s="1"/>
  <c r="O17" i="2" s="1"/>
  <c r="K12" i="4"/>
  <c r="J11" i="5"/>
  <c r="M11" i="5" s="1"/>
  <c r="O11" i="5" s="1"/>
  <c r="K24" i="5"/>
  <c r="S11" i="5"/>
  <c r="T11" i="5" s="1"/>
  <c r="Q11" i="5"/>
  <c r="M13" i="5"/>
  <c r="O13" i="5" s="1"/>
  <c r="M26" i="5"/>
  <c r="O26" i="5" s="1"/>
  <c r="J9" i="5"/>
  <c r="M9" i="5" s="1"/>
  <c r="O9" i="5" s="1"/>
  <c r="J8" i="5"/>
  <c r="M8" i="5" s="1"/>
  <c r="O8" i="5" s="1"/>
  <c r="J18" i="5"/>
  <c r="M18" i="5" s="1"/>
  <c r="O18" i="5" s="1"/>
  <c r="K19" i="5"/>
  <c r="M19" i="5" s="1"/>
  <c r="O19" i="5" s="1"/>
  <c r="J17" i="5"/>
  <c r="M17" i="5" s="1"/>
  <c r="O17" i="5" s="1"/>
  <c r="K16" i="5"/>
  <c r="K26" i="5"/>
  <c r="J14" i="5"/>
  <c r="M14" i="5" s="1"/>
  <c r="O14" i="5" s="1"/>
  <c r="J23" i="5"/>
  <c r="M23" i="5" s="1"/>
  <c r="O23" i="5" s="1"/>
  <c r="J12" i="5"/>
  <c r="M12" i="5" s="1"/>
  <c r="O12" i="5" s="1"/>
  <c r="K13" i="5"/>
  <c r="J22" i="5"/>
  <c r="M22" i="5" s="1"/>
  <c r="O22" i="5" s="1"/>
  <c r="J15" i="5"/>
  <c r="M15" i="5" s="1"/>
  <c r="O15" i="5" s="1"/>
  <c r="J25" i="5"/>
  <c r="M25" i="5" s="1"/>
  <c r="O25" i="5" s="1"/>
  <c r="J24" i="5"/>
  <c r="M24" i="5" s="1"/>
  <c r="O24" i="5" s="1"/>
  <c r="K10" i="4"/>
  <c r="J19" i="4"/>
  <c r="J24" i="4"/>
  <c r="K25" i="4"/>
  <c r="J23" i="4"/>
  <c r="K22" i="4"/>
  <c r="K18" i="4"/>
  <c r="M18" i="4" s="1"/>
  <c r="O18" i="4" s="1"/>
  <c r="S18" i="4" s="1"/>
  <c r="T18" i="4" s="1"/>
  <c r="K9" i="4"/>
  <c r="M9" i="4" s="1"/>
  <c r="O9" i="4" s="1"/>
  <c r="K17" i="4"/>
  <c r="K13" i="4"/>
  <c r="J26" i="4"/>
  <c r="K8" i="4"/>
  <c r="K23" i="4"/>
  <c r="K27" i="4"/>
  <c r="J8" i="4"/>
  <c r="J12" i="4"/>
  <c r="M12" i="4" s="1"/>
  <c r="O12" i="4" s="1"/>
  <c r="J17" i="4"/>
  <c r="J22" i="4"/>
  <c r="J27" i="4"/>
  <c r="J21" i="4"/>
  <c r="M21" i="4" s="1"/>
  <c r="O21" i="4" s="1"/>
  <c r="K11" i="4"/>
  <c r="M11" i="4" s="1"/>
  <c r="O11" i="4" s="1"/>
  <c r="K16" i="4"/>
  <c r="M16" i="4" s="1"/>
  <c r="O16" i="4" s="1"/>
  <c r="K26" i="4"/>
  <c r="J10" i="4"/>
  <c r="J15" i="4"/>
  <c r="M15" i="4" s="1"/>
  <c r="O15" i="4" s="1"/>
  <c r="J20" i="4"/>
  <c r="M20" i="4" s="1"/>
  <c r="O20" i="4" s="1"/>
  <c r="J25" i="4"/>
  <c r="M9" i="3"/>
  <c r="Q9" i="3" s="1"/>
  <c r="R9" i="3" s="1"/>
  <c r="M19" i="3"/>
  <c r="O19" i="3" s="1"/>
  <c r="M24" i="3"/>
  <c r="O24" i="3" s="1"/>
  <c r="J8" i="3"/>
  <c r="M8" i="3" s="1"/>
  <c r="J13" i="3"/>
  <c r="M13" i="3" s="1"/>
  <c r="J18" i="3"/>
  <c r="M18" i="3" s="1"/>
  <c r="J23" i="3"/>
  <c r="J27" i="3"/>
  <c r="M27" i="3" s="1"/>
  <c r="J12" i="3"/>
  <c r="M12" i="3" s="1"/>
  <c r="J22" i="3"/>
  <c r="M22" i="3" s="1"/>
  <c r="J21" i="3"/>
  <c r="M21" i="3" s="1"/>
  <c r="J26" i="3"/>
  <c r="M26" i="3" s="1"/>
  <c r="K11" i="3"/>
  <c r="M11" i="3" s="1"/>
  <c r="J10" i="3"/>
  <c r="M10" i="3" s="1"/>
  <c r="J15" i="3"/>
  <c r="M15" i="3" s="1"/>
  <c r="J20" i="3"/>
  <c r="M20" i="3" s="1"/>
  <c r="J25" i="3"/>
  <c r="M25" i="3" s="1"/>
  <c r="J17" i="3"/>
  <c r="M17" i="3" s="1"/>
  <c r="J16" i="3"/>
  <c r="M16" i="3" s="1"/>
  <c r="M10" i="2"/>
  <c r="Q10" i="2" s="1"/>
  <c r="R10" i="2" s="1"/>
  <c r="M20" i="2"/>
  <c r="O20" i="2" s="1"/>
  <c r="M19" i="2"/>
  <c r="O19" i="2" s="1"/>
  <c r="M27" i="2"/>
  <c r="Q27" i="2" s="1"/>
  <c r="R27" i="2" s="1"/>
  <c r="M16" i="2"/>
  <c r="Q16" i="2" s="1"/>
  <c r="R16" i="2" s="1"/>
  <c r="M26" i="2"/>
  <c r="O26" i="2" s="1"/>
  <c r="M14" i="2"/>
  <c r="O14" i="2" s="1"/>
  <c r="M15" i="2"/>
  <c r="O15" i="2" s="1"/>
  <c r="M23" i="2"/>
  <c r="Q23" i="2" s="1"/>
  <c r="R23" i="2" s="1"/>
  <c r="J24" i="2"/>
  <c r="M24" i="2" s="1"/>
  <c r="O24" i="2" s="1"/>
  <c r="J25" i="2"/>
  <c r="J21" i="2"/>
  <c r="J11" i="2"/>
  <c r="J13" i="2"/>
  <c r="J9" i="2"/>
  <c r="Q10" i="5" l="1"/>
  <c r="S10" i="5"/>
  <c r="T10" i="5" s="1"/>
  <c r="M23" i="3"/>
  <c r="S20" i="5"/>
  <c r="T20" i="5" s="1"/>
  <c r="Q27" i="5"/>
  <c r="M21" i="5"/>
  <c r="O21" i="5" s="1"/>
  <c r="M13" i="4"/>
  <c r="O13" i="4" s="1"/>
  <c r="S13" i="4" s="1"/>
  <c r="T13" i="4" s="1"/>
  <c r="M16" i="5"/>
  <c r="O16" i="5" s="1"/>
  <c r="S16" i="5"/>
  <c r="T16" i="5" s="1"/>
  <c r="Q16" i="5"/>
  <c r="Q19" i="5"/>
  <c r="S19" i="5"/>
  <c r="T19" i="5" s="1"/>
  <c r="Q24" i="5"/>
  <c r="S24" i="5"/>
  <c r="T24" i="5" s="1"/>
  <c r="S22" i="5"/>
  <c r="T22" i="5" s="1"/>
  <c r="Q22" i="5"/>
  <c r="Q17" i="5"/>
  <c r="S17" i="5"/>
  <c r="T17" i="5" s="1"/>
  <c r="Q25" i="5"/>
  <c r="S25" i="5"/>
  <c r="T25" i="5" s="1"/>
  <c r="Q18" i="5"/>
  <c r="S18" i="5"/>
  <c r="T18" i="5" s="1"/>
  <c r="S8" i="5"/>
  <c r="T8" i="5" s="1"/>
  <c r="Q8" i="5"/>
  <c r="S9" i="5"/>
  <c r="T9" i="5" s="1"/>
  <c r="Q9" i="5"/>
  <c r="Q15" i="5"/>
  <c r="S15" i="5"/>
  <c r="T15" i="5" s="1"/>
  <c r="S26" i="5"/>
  <c r="T26" i="5" s="1"/>
  <c r="Q26" i="5"/>
  <c r="S13" i="5"/>
  <c r="T13" i="5" s="1"/>
  <c r="Q13" i="5"/>
  <c r="S12" i="5"/>
  <c r="T12" i="5" s="1"/>
  <c r="Q12" i="5"/>
  <c r="S23" i="5"/>
  <c r="T23" i="5" s="1"/>
  <c r="Q23" i="5"/>
  <c r="S14" i="5"/>
  <c r="T14" i="5" s="1"/>
  <c r="Q14" i="5"/>
  <c r="M27" i="4"/>
  <c r="O27" i="4" s="1"/>
  <c r="Q27" i="4" s="1"/>
  <c r="M22" i="4"/>
  <c r="O22" i="4" s="1"/>
  <c r="Q22" i="4" s="1"/>
  <c r="M17" i="4"/>
  <c r="O17" i="4" s="1"/>
  <c r="Q17" i="4" s="1"/>
  <c r="M26" i="4"/>
  <c r="O26" i="4" s="1"/>
  <c r="Q26" i="4" s="1"/>
  <c r="M25" i="4"/>
  <c r="O25" i="4" s="1"/>
  <c r="S25" i="4" s="1"/>
  <c r="T25" i="4" s="1"/>
  <c r="M8" i="4"/>
  <c r="O8" i="4" s="1"/>
  <c r="Q8" i="4" s="1"/>
  <c r="M10" i="4"/>
  <c r="O10" i="4" s="1"/>
  <c r="Q10" i="4" s="1"/>
  <c r="M23" i="4"/>
  <c r="O23" i="4" s="1"/>
  <c r="S23" i="4" s="1"/>
  <c r="T23" i="4" s="1"/>
  <c r="M24" i="4"/>
  <c r="O24" i="4" s="1"/>
  <c r="S24" i="4" s="1"/>
  <c r="T24" i="4" s="1"/>
  <c r="M19" i="4"/>
  <c r="O19" i="4" s="1"/>
  <c r="S19" i="4" s="1"/>
  <c r="T19" i="4" s="1"/>
  <c r="S14" i="4"/>
  <c r="T14" i="4" s="1"/>
  <c r="Q18" i="4"/>
  <c r="Q9" i="4"/>
  <c r="S9" i="4"/>
  <c r="T9" i="4" s="1"/>
  <c r="Q16" i="4"/>
  <c r="S16" i="4"/>
  <c r="T16" i="4" s="1"/>
  <c r="S15" i="4"/>
  <c r="T15" i="4" s="1"/>
  <c r="Q15" i="4"/>
  <c r="S20" i="4"/>
  <c r="T20" i="4" s="1"/>
  <c r="Q20" i="4"/>
  <c r="S12" i="4"/>
  <c r="T12" i="4" s="1"/>
  <c r="Q12" i="4"/>
  <c r="Q11" i="4"/>
  <c r="S11" i="4"/>
  <c r="T11" i="4" s="1"/>
  <c r="Q21" i="4"/>
  <c r="S21" i="4"/>
  <c r="T21" i="4" s="1"/>
  <c r="O9" i="3"/>
  <c r="Q24" i="3"/>
  <c r="R24" i="3" s="1"/>
  <c r="Q19" i="3"/>
  <c r="R19" i="3" s="1"/>
  <c r="Q14" i="3"/>
  <c r="R14" i="3" s="1"/>
  <c r="O11" i="3"/>
  <c r="Q11" i="3"/>
  <c r="R11" i="3" s="1"/>
  <c r="O26" i="3"/>
  <c r="Q26" i="3"/>
  <c r="R26" i="3" s="1"/>
  <c r="O21" i="3"/>
  <c r="Q21" i="3"/>
  <c r="R21" i="3" s="1"/>
  <c r="O22" i="3"/>
  <c r="Q22" i="3"/>
  <c r="R22" i="3" s="1"/>
  <c r="O16" i="3"/>
  <c r="Q16" i="3"/>
  <c r="R16" i="3" s="1"/>
  <c r="O12" i="3"/>
  <c r="Q12" i="3"/>
  <c r="R12" i="3" s="1"/>
  <c r="O17" i="3"/>
  <c r="Q17" i="3"/>
  <c r="R17" i="3" s="1"/>
  <c r="O27" i="3"/>
  <c r="Q27" i="3"/>
  <c r="R27" i="3" s="1"/>
  <c r="O25" i="3"/>
  <c r="Q25" i="3"/>
  <c r="R25" i="3" s="1"/>
  <c r="O23" i="3"/>
  <c r="Q23" i="3"/>
  <c r="R23" i="3" s="1"/>
  <c r="O8" i="3"/>
  <c r="Q8" i="3"/>
  <c r="R8" i="3" s="1"/>
  <c r="O20" i="3"/>
  <c r="Q20" i="3"/>
  <c r="R20" i="3" s="1"/>
  <c r="Q18" i="3"/>
  <c r="R18" i="3" s="1"/>
  <c r="O18" i="3"/>
  <c r="Q10" i="3"/>
  <c r="R10" i="3" s="1"/>
  <c r="O10" i="3"/>
  <c r="O15" i="3"/>
  <c r="Q15" i="3"/>
  <c r="R15" i="3" s="1"/>
  <c r="Q13" i="3"/>
  <c r="R13" i="3" s="1"/>
  <c r="O13" i="3"/>
  <c r="Q12" i="2"/>
  <c r="R12" i="2" s="1"/>
  <c r="O10" i="2"/>
  <c r="O27" i="2"/>
  <c r="O22" i="2"/>
  <c r="Q20" i="2"/>
  <c r="R20" i="2" s="1"/>
  <c r="Q19" i="2"/>
  <c r="R19" i="2" s="1"/>
  <c r="O16" i="2"/>
  <c r="Q17" i="2"/>
  <c r="R17" i="2" s="1"/>
  <c r="Q26" i="2"/>
  <c r="R26" i="2" s="1"/>
  <c r="Q14" i="2"/>
  <c r="R14" i="2" s="1"/>
  <c r="Q24" i="2"/>
  <c r="R24" i="2" s="1"/>
  <c r="Q15" i="2"/>
  <c r="R15" i="2" s="1"/>
  <c r="O23" i="2"/>
  <c r="O8" i="2"/>
  <c r="O18" i="2"/>
  <c r="M9" i="2"/>
  <c r="O9" i="2" s="1"/>
  <c r="M13" i="2"/>
  <c r="O13" i="2" s="1"/>
  <c r="M11" i="2"/>
  <c r="O11" i="2" s="1"/>
  <c r="M21" i="2"/>
  <c r="Q21" i="2" s="1"/>
  <c r="R21" i="2" s="1"/>
  <c r="M25" i="2"/>
  <c r="Q25" i="2" s="1"/>
  <c r="R25" i="2" s="1"/>
  <c r="Q21" i="5" l="1"/>
  <c r="S21" i="5"/>
  <c r="T21" i="5" s="1"/>
  <c r="S5" i="5"/>
  <c r="Q13" i="4"/>
  <c r="Q6" i="5"/>
  <c r="S22" i="4"/>
  <c r="T22" i="4" s="1"/>
  <c r="S27" i="4"/>
  <c r="T27" i="4" s="1"/>
  <c r="S17" i="4"/>
  <c r="T17" i="4" s="1"/>
  <c r="Q25" i="4"/>
  <c r="S10" i="4"/>
  <c r="T10" i="4" s="1"/>
  <c r="Q23" i="4"/>
  <c r="Q19" i="4"/>
  <c r="Q24" i="4"/>
  <c r="S26" i="4"/>
  <c r="T26" i="4" s="1"/>
  <c r="S8" i="4"/>
  <c r="T8" i="4" s="1"/>
  <c r="Q5" i="3"/>
  <c r="O6" i="3"/>
  <c r="Q9" i="2"/>
  <c r="R9" i="2" s="1"/>
  <c r="O21" i="2"/>
  <c r="Q11" i="2"/>
  <c r="R11" i="2" s="1"/>
  <c r="O25" i="2"/>
  <c r="Q13" i="2"/>
  <c r="R13" i="2" s="1"/>
  <c r="Q6" i="4" l="1"/>
  <c r="S5" i="4"/>
  <c r="O6" i="2"/>
  <c r="Q5" i="2"/>
  <c r="H26" i="1" l="1"/>
  <c r="H16" i="1"/>
  <c r="H15" i="1"/>
  <c r="H13" i="1"/>
  <c r="H24" i="1"/>
  <c r="H23" i="1"/>
  <c r="H12" i="1"/>
  <c r="H11" i="1"/>
  <c r="H10" i="1"/>
  <c r="H9" i="1"/>
  <c r="H18" i="1"/>
  <c r="H25" i="1"/>
  <c r="H14" i="1"/>
  <c r="H22" i="1"/>
  <c r="H21" i="1"/>
  <c r="H20" i="1"/>
  <c r="H19" i="1"/>
  <c r="H27" i="1"/>
  <c r="H17" i="1"/>
  <c r="H8" i="1"/>
  <c r="G18" i="1"/>
  <c r="G26" i="1"/>
  <c r="G22" i="1"/>
  <c r="G12" i="1"/>
  <c r="G27" i="1"/>
  <c r="G16" i="1"/>
  <c r="G24" i="1"/>
  <c r="G21" i="1"/>
  <c r="G11" i="1"/>
  <c r="G17" i="1"/>
  <c r="G15" i="1"/>
  <c r="G23" i="1"/>
  <c r="G20" i="1"/>
  <c r="G10" i="1"/>
  <c r="G25" i="1"/>
  <c r="G14" i="1"/>
  <c r="G13" i="1"/>
  <c r="G19" i="1"/>
  <c r="G9" i="1"/>
  <c r="G8" i="1"/>
  <c r="J17" i="1" l="1"/>
  <c r="L17" i="1" s="1"/>
  <c r="J19" i="1"/>
  <c r="L19" i="1" s="1"/>
  <c r="J24" i="1"/>
  <c r="L24" i="1" s="1"/>
  <c r="J8" i="1"/>
  <c r="L8" i="1" s="1"/>
  <c r="J26" i="1"/>
  <c r="L26" i="1" s="1"/>
  <c r="J21" i="1"/>
  <c r="L21" i="1" s="1"/>
  <c r="J13" i="1"/>
  <c r="L13" i="1" s="1"/>
  <c r="J18" i="1"/>
  <c r="L18" i="1" s="1"/>
  <c r="J14" i="1"/>
  <c r="L14" i="1" s="1"/>
  <c r="J11" i="1"/>
  <c r="L11" i="1" s="1"/>
  <c r="J16" i="1"/>
  <c r="L16" i="1" s="1"/>
  <c r="J25" i="1"/>
  <c r="L25" i="1" s="1"/>
  <c r="J12" i="1"/>
  <c r="L12" i="1" s="1"/>
  <c r="J9" i="1"/>
  <c r="L9" i="1" s="1"/>
  <c r="J27" i="1"/>
  <c r="L27" i="1" s="1"/>
  <c r="J10" i="1"/>
  <c r="L10" i="1" s="1"/>
  <c r="J20" i="1"/>
  <c r="L20" i="1" s="1"/>
  <c r="J22" i="1"/>
  <c r="L22" i="1" s="1"/>
  <c r="J23" i="1"/>
  <c r="L23" i="1" s="1"/>
  <c r="J15" i="1"/>
  <c r="L15" i="1" s="1"/>
  <c r="N15" i="1" l="1"/>
  <c r="P15" i="1"/>
  <c r="Q15" i="1" s="1"/>
  <c r="N18" i="1"/>
  <c r="P18" i="1"/>
  <c r="Q18" i="1" s="1"/>
  <c r="N22" i="1"/>
  <c r="P22" i="1"/>
  <c r="Q22" i="1" s="1"/>
  <c r="N14" i="1"/>
  <c r="P14" i="1"/>
  <c r="Q14" i="1" s="1"/>
  <c r="N23" i="1"/>
  <c r="P23" i="1"/>
  <c r="Q23" i="1" s="1"/>
  <c r="N11" i="1"/>
  <c r="P11" i="1"/>
  <c r="Q11" i="1" s="1"/>
  <c r="N20" i="1"/>
  <c r="P20" i="1"/>
  <c r="Q20" i="1" s="1"/>
  <c r="N13" i="1"/>
  <c r="P13" i="1"/>
  <c r="Q13" i="1" s="1"/>
  <c r="N10" i="1"/>
  <c r="P10" i="1"/>
  <c r="Q10" i="1" s="1"/>
  <c r="N21" i="1"/>
  <c r="P21" i="1"/>
  <c r="Q21" i="1" s="1"/>
  <c r="N27" i="1"/>
  <c r="P27" i="1"/>
  <c r="Q27" i="1" s="1"/>
  <c r="N26" i="1"/>
  <c r="P26" i="1"/>
  <c r="Q26" i="1" s="1"/>
  <c r="N9" i="1"/>
  <c r="P9" i="1"/>
  <c r="Q9" i="1" s="1"/>
  <c r="N12" i="1"/>
  <c r="P12" i="1"/>
  <c r="Q12" i="1" s="1"/>
  <c r="N24" i="1"/>
  <c r="P24" i="1"/>
  <c r="Q24" i="1" s="1"/>
  <c r="N25" i="1"/>
  <c r="P25" i="1"/>
  <c r="Q25" i="1" s="1"/>
  <c r="N19" i="1"/>
  <c r="P19" i="1"/>
  <c r="Q19" i="1" s="1"/>
  <c r="N16" i="1"/>
  <c r="P16" i="1"/>
  <c r="Q16" i="1" s="1"/>
  <c r="N17" i="1"/>
  <c r="P17" i="1"/>
  <c r="Q17" i="1" s="1"/>
  <c r="N8" i="1"/>
  <c r="P8" i="1"/>
  <c r="Q8" i="1" s="1"/>
  <c r="P5" i="1" l="1"/>
  <c r="N6" i="1"/>
</calcChain>
</file>

<file path=xl/sharedStrings.xml><?xml version="1.0" encoding="utf-8"?>
<sst xmlns="http://schemas.openxmlformats.org/spreadsheetml/2006/main" count="113" uniqueCount="23">
  <si>
    <t>Es casad@</t>
  </si>
  <si>
    <t>edad</t>
  </si>
  <si>
    <t>hijos</t>
  </si>
  <si>
    <t>b0</t>
  </si>
  <si>
    <t>b1</t>
  </si>
  <si>
    <t>b2</t>
  </si>
  <si>
    <t>Y</t>
  </si>
  <si>
    <t>X1</t>
  </si>
  <si>
    <t>X2</t>
  </si>
  <si>
    <t>Capa de Entrada</t>
  </si>
  <si>
    <t>Edad</t>
  </si>
  <si>
    <t>Hijos</t>
  </si>
  <si>
    <t>Capa Oculta #1</t>
  </si>
  <si>
    <t>Neurona 1</t>
  </si>
  <si>
    <t>Id</t>
  </si>
  <si>
    <t>Capa Salida</t>
  </si>
  <si>
    <t>Predicción</t>
  </si>
  <si>
    <t>Error Predicción</t>
  </si>
  <si>
    <t>Desempeño</t>
  </si>
  <si>
    <t>Recomendación</t>
  </si>
  <si>
    <t>Acierto</t>
  </si>
  <si>
    <t>Neurona 2</t>
  </si>
  <si>
    <t>Capa Oculta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</si>
</sst>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.E+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2" fillId="0" borderId="5" xfId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8467</xdr:colOff>
      <xdr:row>1</xdr:row>
      <xdr:rowOff>100188</xdr:rowOff>
    </xdr:from>
    <xdr:ext cx="2125967" cy="2930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837E089-ECC5-101D-5C5C-9D59F1914CFA}"/>
                </a:ext>
              </a:extLst>
            </xdr:cNvPr>
            <xdr:cNvSpPr txBox="1"/>
          </xdr:nvSpPr>
          <xdr:spPr>
            <a:xfrm>
              <a:off x="311856" y="304799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𝑁𝑜𝑟𝑚𝑎𝑙𝑖𝑧𝑎𝑐𝑖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s-419" sz="1000" b="0" i="0">
                            <a:latin typeface="Cambria Math" panose="02040503050406030204" pitchFamily="18" charset="0"/>
                          </a:rPr>
                          <m:t>m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𝑛𝑖𝑚𝑜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837E089-ECC5-101D-5C5C-9D59F1914CFA}"/>
                </a:ext>
              </a:extLst>
            </xdr:cNvPr>
            <xdr:cNvSpPr txBox="1"/>
          </xdr:nvSpPr>
          <xdr:spPr>
            <a:xfrm>
              <a:off x="311856" y="304799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𝑁𝑜𝑟𝑚𝑎𝑙𝑖𝑧𝑎𝑐𝑖ó𝑛=(x_i−má𝑥𝑖𝑚𝑜)/(𝑚á𝑥𝑖𝑚𝑜 −𝑚í𝑛𝑖𝑚𝑜)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3</xdr:col>
      <xdr:colOff>682978</xdr:colOff>
      <xdr:row>1</xdr:row>
      <xdr:rowOff>111477</xdr:rowOff>
    </xdr:from>
    <xdr:ext cx="1475339" cy="2841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EE3164AE-B3C0-3840-A6BB-66D940E71A22}"/>
                </a:ext>
              </a:extLst>
            </xdr:cNvPr>
            <xdr:cNvSpPr txBox="1"/>
          </xdr:nvSpPr>
          <xdr:spPr>
            <a:xfrm>
              <a:off x="2637367" y="316088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𝐸𝑠𝑡𝑎𝑛𝑑𝑎𝑟𝑖𝑧𝑎𝑐𝑖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419" sz="1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EE3164AE-B3C0-3840-A6BB-66D940E71A22}"/>
                </a:ext>
              </a:extLst>
            </xdr:cNvPr>
            <xdr:cNvSpPr txBox="1"/>
          </xdr:nvSpPr>
          <xdr:spPr>
            <a:xfrm>
              <a:off x="2637367" y="316088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𝐸𝑠𝑡𝑎𝑛𝑑𝑎𝑟𝑖𝑧𝑎𝑐𝑖ó𝑛=(x_i−𝑥 ̅)/𝜎</a:t>
              </a:r>
              <a:endParaRPr lang="es-MX" sz="1000"/>
            </a:p>
          </xdr:txBody>
        </xdr:sp>
      </mc:Fallback>
    </mc:AlternateContent>
    <xdr:clientData/>
  </xdr:oneCellAnchor>
  <xdr:twoCellAnchor>
    <xdr:from>
      <xdr:col>12</xdr:col>
      <xdr:colOff>797278</xdr:colOff>
      <xdr:row>0</xdr:row>
      <xdr:rowOff>134057</xdr:rowOff>
    </xdr:from>
    <xdr:to>
      <xdr:col>13</xdr:col>
      <xdr:colOff>635000</xdr:colOff>
      <xdr:row>3</xdr:row>
      <xdr:rowOff>63500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64BE21D-EB3C-9BB3-FDDC-8C339C7003F4}"/>
            </a:ext>
          </a:extLst>
        </xdr:cNvPr>
        <xdr:cNvSpPr/>
      </xdr:nvSpPr>
      <xdr:spPr>
        <a:xfrm>
          <a:off x="10399889" y="134057"/>
          <a:ext cx="663222" cy="54327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Base</a:t>
          </a:r>
          <a:r>
            <a:rPr lang="es-MX" sz="1100" b="1" baseline="0">
              <a:solidFill>
                <a:schemeClr val="accent6">
                  <a:lumMod val="50000"/>
                </a:schemeClr>
              </a:solidFill>
            </a:rPr>
            <a:t> Datos</a:t>
          </a:r>
          <a:endParaRPr lang="es-MX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999066</xdr:colOff>
      <xdr:row>0</xdr:row>
      <xdr:rowOff>131234</xdr:rowOff>
    </xdr:from>
    <xdr:to>
      <xdr:col>15</xdr:col>
      <xdr:colOff>331610</xdr:colOff>
      <xdr:row>3</xdr:row>
      <xdr:rowOff>56444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EA1A349-7ED0-3741-8189-F4749329ED9B}"/>
            </a:ext>
          </a:extLst>
        </xdr:cNvPr>
        <xdr:cNvSpPr/>
      </xdr:nvSpPr>
      <xdr:spPr>
        <a:xfrm>
          <a:off x="11427177" y="131234"/>
          <a:ext cx="1223433" cy="53904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Capa de Entrada</a:t>
          </a:r>
        </a:p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(Transformación)</a:t>
          </a:r>
        </a:p>
      </xdr:txBody>
    </xdr:sp>
    <xdr:clientData/>
  </xdr:twoCellAnchor>
  <xdr:twoCellAnchor>
    <xdr:from>
      <xdr:col>15</xdr:col>
      <xdr:colOff>691444</xdr:colOff>
      <xdr:row>0</xdr:row>
      <xdr:rowOff>148167</xdr:rowOff>
    </xdr:from>
    <xdr:to>
      <xdr:col>16</xdr:col>
      <xdr:colOff>458612</xdr:colOff>
      <xdr:row>3</xdr:row>
      <xdr:rowOff>28223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FF4D85CC-AA85-ECAE-1E95-59FD8E9C7514}"/>
            </a:ext>
          </a:extLst>
        </xdr:cNvPr>
        <xdr:cNvSpPr/>
      </xdr:nvSpPr>
      <xdr:spPr>
        <a:xfrm>
          <a:off x="13010444" y="148167"/>
          <a:ext cx="846668" cy="493889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600">
              <a:solidFill>
                <a:schemeClr val="accent6">
                  <a:lumMod val="50000"/>
                </a:schemeClr>
              </a:solidFill>
            </a:rPr>
            <a:t>Capa 1</a:t>
          </a:r>
        </a:p>
        <a:p>
          <a:pPr algn="ctr"/>
          <a:r>
            <a:rPr lang="es-MX" sz="600">
              <a:solidFill>
                <a:schemeClr val="accent6">
                  <a:lumMod val="50000"/>
                </a:schemeClr>
              </a:solidFill>
            </a:rPr>
            <a:t>Neurona</a:t>
          </a:r>
          <a:r>
            <a:rPr lang="es-MX" sz="600" baseline="0">
              <a:solidFill>
                <a:schemeClr val="accent6">
                  <a:lumMod val="50000"/>
                </a:schemeClr>
              </a:solidFill>
            </a:rPr>
            <a:t> 1</a:t>
          </a:r>
          <a:endParaRPr lang="es-MX" sz="6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766233</xdr:colOff>
      <xdr:row>0</xdr:row>
      <xdr:rowOff>124179</xdr:rowOff>
    </xdr:from>
    <xdr:to>
      <xdr:col>17</xdr:col>
      <xdr:colOff>349955</xdr:colOff>
      <xdr:row>3</xdr:row>
      <xdr:rowOff>42334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7B0C51FC-82A4-0A40-9518-849B09A5D9A6}"/>
            </a:ext>
          </a:extLst>
        </xdr:cNvPr>
        <xdr:cNvSpPr/>
      </xdr:nvSpPr>
      <xdr:spPr>
        <a:xfrm>
          <a:off x="14164733" y="124179"/>
          <a:ext cx="663222" cy="53198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Capa de Salida</a:t>
          </a:r>
        </a:p>
      </xdr:txBody>
    </xdr:sp>
    <xdr:clientData/>
  </xdr:twoCellAnchor>
  <xdr:twoCellAnchor>
    <xdr:from>
      <xdr:col>13</xdr:col>
      <xdr:colOff>635000</xdr:colOff>
      <xdr:row>1</xdr:row>
      <xdr:rowOff>196145</xdr:rowOff>
    </xdr:from>
    <xdr:to>
      <xdr:col>13</xdr:col>
      <xdr:colOff>999066</xdr:colOff>
      <xdr:row>1</xdr:row>
      <xdr:rowOff>201084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B065BEA3-8438-C822-DE1D-7CE699053B8A}"/>
            </a:ext>
          </a:extLst>
        </xdr:cNvPr>
        <xdr:cNvCxnSpPr>
          <a:stCxn id="2" idx="3"/>
          <a:endCxn id="5" idx="1"/>
        </xdr:cNvCxnSpPr>
      </xdr:nvCxnSpPr>
      <xdr:spPr>
        <a:xfrm flipV="1">
          <a:off x="11063111" y="400756"/>
          <a:ext cx="364066" cy="4939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331610</xdr:colOff>
      <xdr:row>1</xdr:row>
      <xdr:rowOff>190501</xdr:rowOff>
    </xdr:from>
    <xdr:to>
      <xdr:col>15</xdr:col>
      <xdr:colOff>691444</xdr:colOff>
      <xdr:row>1</xdr:row>
      <xdr:rowOff>196145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684B0097-172E-D24C-9E21-9721FC95E843}"/>
            </a:ext>
          </a:extLst>
        </xdr:cNvPr>
        <xdr:cNvCxnSpPr>
          <a:stCxn id="5" idx="3"/>
          <a:endCxn id="6" idx="2"/>
        </xdr:cNvCxnSpPr>
      </xdr:nvCxnSpPr>
      <xdr:spPr>
        <a:xfrm flipV="1">
          <a:off x="12650610" y="395112"/>
          <a:ext cx="359834" cy="5644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458612</xdr:colOff>
      <xdr:row>1</xdr:row>
      <xdr:rowOff>185562</xdr:rowOff>
    </xdr:from>
    <xdr:to>
      <xdr:col>16</xdr:col>
      <xdr:colOff>766233</xdr:colOff>
      <xdr:row>1</xdr:row>
      <xdr:rowOff>190501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9EF504E3-FF3C-284C-8DCE-DEB47A871F94}"/>
            </a:ext>
          </a:extLst>
        </xdr:cNvPr>
        <xdr:cNvCxnSpPr>
          <a:stCxn id="6" idx="6"/>
          <a:endCxn id="8" idx="1"/>
        </xdr:cNvCxnSpPr>
      </xdr:nvCxnSpPr>
      <xdr:spPr>
        <a:xfrm flipV="1">
          <a:off x="13857112" y="390173"/>
          <a:ext cx="307621" cy="4939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8467</xdr:colOff>
      <xdr:row>1</xdr:row>
      <xdr:rowOff>100188</xdr:rowOff>
    </xdr:from>
    <xdr:ext cx="2125967" cy="2930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2DEED11-ED60-3241-8EE1-B868F6A134C4}"/>
                </a:ext>
              </a:extLst>
            </xdr:cNvPr>
            <xdr:cNvSpPr txBox="1"/>
          </xdr:nvSpPr>
          <xdr:spPr>
            <a:xfrm>
              <a:off x="313267" y="303388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𝑁𝑜𝑟𝑚𝑎𝑙𝑖𝑧𝑎𝑐𝑖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s-419" sz="1000" b="0" i="0">
                            <a:latin typeface="Cambria Math" panose="02040503050406030204" pitchFamily="18" charset="0"/>
                          </a:rPr>
                          <m:t>m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𝑛𝑖𝑚𝑜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2DEED11-ED60-3241-8EE1-B868F6A134C4}"/>
                </a:ext>
              </a:extLst>
            </xdr:cNvPr>
            <xdr:cNvSpPr txBox="1"/>
          </xdr:nvSpPr>
          <xdr:spPr>
            <a:xfrm>
              <a:off x="313267" y="303388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𝑁𝑜𝑟𝑚𝑎𝑙𝑖𝑧𝑎𝑐𝑖ó𝑛=(x_i−má𝑥𝑖𝑚𝑜)/(𝑚á𝑥𝑖𝑚𝑜 −𝑚í𝑛𝑖𝑚𝑜)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3</xdr:col>
      <xdr:colOff>682978</xdr:colOff>
      <xdr:row>1</xdr:row>
      <xdr:rowOff>111477</xdr:rowOff>
    </xdr:from>
    <xdr:ext cx="1475339" cy="2841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B5E87B5-9C91-F24F-9968-D3AA40B718A2}"/>
                </a:ext>
              </a:extLst>
            </xdr:cNvPr>
            <xdr:cNvSpPr txBox="1"/>
          </xdr:nvSpPr>
          <xdr:spPr>
            <a:xfrm>
              <a:off x="2638778" y="314677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𝐸𝑠𝑡𝑎𝑛𝑑𝑎𝑟𝑖𝑧𝑎𝑐𝑖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419" sz="1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B5E87B5-9C91-F24F-9968-D3AA40B718A2}"/>
                </a:ext>
              </a:extLst>
            </xdr:cNvPr>
            <xdr:cNvSpPr txBox="1"/>
          </xdr:nvSpPr>
          <xdr:spPr>
            <a:xfrm>
              <a:off x="2638778" y="314677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𝐸𝑠𝑡𝑎𝑛𝑑𝑎𝑟𝑖𝑧𝑎𝑐𝑖ó𝑛=(x_i−𝑥 ̅)/𝜎</a:t>
              </a:r>
              <a:endParaRPr lang="es-MX" sz="1000"/>
            </a:p>
          </xdr:txBody>
        </xdr:sp>
      </mc:Fallback>
    </mc:AlternateContent>
    <xdr:clientData/>
  </xdr:oneCellAnchor>
  <xdr:twoCellAnchor>
    <xdr:from>
      <xdr:col>13</xdr:col>
      <xdr:colOff>592666</xdr:colOff>
      <xdr:row>0</xdr:row>
      <xdr:rowOff>129823</xdr:rowOff>
    </xdr:from>
    <xdr:to>
      <xdr:col>14</xdr:col>
      <xdr:colOff>430388</xdr:colOff>
      <xdr:row>3</xdr:row>
      <xdr:rowOff>59266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BEA9986-3099-2B4D-9C64-0CB774CD61AF}"/>
            </a:ext>
          </a:extLst>
        </xdr:cNvPr>
        <xdr:cNvSpPr/>
      </xdr:nvSpPr>
      <xdr:spPr>
        <a:xfrm>
          <a:off x="11239499" y="129823"/>
          <a:ext cx="663222" cy="54327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Base</a:t>
          </a:r>
          <a:r>
            <a:rPr lang="es-MX" sz="1100" b="1" baseline="0">
              <a:solidFill>
                <a:schemeClr val="accent6">
                  <a:lumMod val="50000"/>
                </a:schemeClr>
              </a:solidFill>
            </a:rPr>
            <a:t> Datos</a:t>
          </a:r>
          <a:endParaRPr lang="es-MX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794454</xdr:colOff>
      <xdr:row>0</xdr:row>
      <xdr:rowOff>127000</xdr:rowOff>
    </xdr:from>
    <xdr:to>
      <xdr:col>16</xdr:col>
      <xdr:colOff>126998</xdr:colOff>
      <xdr:row>3</xdr:row>
      <xdr:rowOff>52210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D7CEF8C0-42FD-5E4D-8FE1-9FC129D181F1}"/>
            </a:ext>
          </a:extLst>
        </xdr:cNvPr>
        <xdr:cNvSpPr/>
      </xdr:nvSpPr>
      <xdr:spPr>
        <a:xfrm>
          <a:off x="12266787" y="127000"/>
          <a:ext cx="1223433" cy="53904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Capa de Entrada</a:t>
          </a:r>
        </a:p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(Transformación)</a:t>
          </a:r>
        </a:p>
      </xdr:txBody>
    </xdr:sp>
    <xdr:clientData/>
  </xdr:twoCellAnchor>
  <xdr:twoCellAnchor>
    <xdr:from>
      <xdr:col>16</xdr:col>
      <xdr:colOff>486832</xdr:colOff>
      <xdr:row>0</xdr:row>
      <xdr:rowOff>112889</xdr:rowOff>
    </xdr:from>
    <xdr:to>
      <xdr:col>17</xdr:col>
      <xdr:colOff>254000</xdr:colOff>
      <xdr:row>1</xdr:row>
      <xdr:rowOff>190500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615B384B-D174-9842-914C-1F97DB958CF6}"/>
            </a:ext>
          </a:extLst>
        </xdr:cNvPr>
        <xdr:cNvSpPr/>
      </xdr:nvSpPr>
      <xdr:spPr>
        <a:xfrm>
          <a:off x="13850054" y="112889"/>
          <a:ext cx="846668" cy="28222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600">
              <a:solidFill>
                <a:schemeClr val="accent6">
                  <a:lumMod val="50000"/>
                </a:schemeClr>
              </a:solidFill>
            </a:rPr>
            <a:t>C1 -</a:t>
          </a:r>
          <a:r>
            <a:rPr lang="es-MX" sz="600" baseline="0">
              <a:solidFill>
                <a:schemeClr val="accent6">
                  <a:lumMod val="50000"/>
                </a:schemeClr>
              </a:solidFill>
            </a:rPr>
            <a:t> N1</a:t>
          </a:r>
          <a:endParaRPr lang="es-MX" sz="6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561621</xdr:colOff>
      <xdr:row>0</xdr:row>
      <xdr:rowOff>119945</xdr:rowOff>
    </xdr:from>
    <xdr:to>
      <xdr:col>18</xdr:col>
      <xdr:colOff>145343</xdr:colOff>
      <xdr:row>3</xdr:row>
      <xdr:rowOff>38100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392DB98-3B61-F748-A735-855DCFF29B21}"/>
            </a:ext>
          </a:extLst>
        </xdr:cNvPr>
        <xdr:cNvSpPr/>
      </xdr:nvSpPr>
      <xdr:spPr>
        <a:xfrm>
          <a:off x="15004343" y="119945"/>
          <a:ext cx="663222" cy="53198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Capa de Salida</a:t>
          </a:r>
        </a:p>
      </xdr:txBody>
    </xdr:sp>
    <xdr:clientData/>
  </xdr:twoCellAnchor>
  <xdr:twoCellAnchor>
    <xdr:from>
      <xdr:col>14</xdr:col>
      <xdr:colOff>430388</xdr:colOff>
      <xdr:row>1</xdr:row>
      <xdr:rowOff>191911</xdr:rowOff>
    </xdr:from>
    <xdr:to>
      <xdr:col>14</xdr:col>
      <xdr:colOff>794454</xdr:colOff>
      <xdr:row>1</xdr:row>
      <xdr:rowOff>196850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9AA64845-F861-3F4E-BCE6-30498BFBCC33}"/>
            </a:ext>
          </a:extLst>
        </xdr:cNvPr>
        <xdr:cNvCxnSpPr>
          <a:stCxn id="4" idx="3"/>
          <a:endCxn id="5" idx="1"/>
        </xdr:cNvCxnSpPr>
      </xdr:nvCxnSpPr>
      <xdr:spPr>
        <a:xfrm flipV="1">
          <a:off x="11902721" y="396522"/>
          <a:ext cx="364066" cy="4939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126998</xdr:colOff>
      <xdr:row>1</xdr:row>
      <xdr:rowOff>49389</xdr:rowOff>
    </xdr:from>
    <xdr:to>
      <xdr:col>16</xdr:col>
      <xdr:colOff>486832</xdr:colOff>
      <xdr:row>1</xdr:row>
      <xdr:rowOff>191911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3AD0AD4F-A9AC-9E4F-9B21-6D9547067368}"/>
            </a:ext>
          </a:extLst>
        </xdr:cNvPr>
        <xdr:cNvCxnSpPr>
          <a:stCxn id="5" idx="3"/>
          <a:endCxn id="6" idx="2"/>
        </xdr:cNvCxnSpPr>
      </xdr:nvCxnSpPr>
      <xdr:spPr>
        <a:xfrm flipV="1">
          <a:off x="13490220" y="254000"/>
          <a:ext cx="359834" cy="142522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254000</xdr:colOff>
      <xdr:row>1</xdr:row>
      <xdr:rowOff>49389</xdr:rowOff>
    </xdr:from>
    <xdr:to>
      <xdr:col>17</xdr:col>
      <xdr:colOff>561621</xdr:colOff>
      <xdr:row>1</xdr:row>
      <xdr:rowOff>181328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1C11F20F-2DDF-9745-82E2-287F6250839C}"/>
            </a:ext>
          </a:extLst>
        </xdr:cNvPr>
        <xdr:cNvCxnSpPr>
          <a:stCxn id="6" idx="6"/>
          <a:endCxn id="7" idx="1"/>
        </xdr:cNvCxnSpPr>
      </xdr:nvCxnSpPr>
      <xdr:spPr>
        <a:xfrm>
          <a:off x="14696722" y="254000"/>
          <a:ext cx="307621" cy="131939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462844</xdr:colOff>
      <xdr:row>2</xdr:row>
      <xdr:rowOff>14111</xdr:rowOff>
    </xdr:from>
    <xdr:to>
      <xdr:col>17</xdr:col>
      <xdr:colOff>230012</xdr:colOff>
      <xdr:row>3</xdr:row>
      <xdr:rowOff>53623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DA2E58D9-3DE6-644D-AE42-7FD20762A5E1}"/>
            </a:ext>
          </a:extLst>
        </xdr:cNvPr>
        <xdr:cNvSpPr/>
      </xdr:nvSpPr>
      <xdr:spPr>
        <a:xfrm>
          <a:off x="13826066" y="423333"/>
          <a:ext cx="846668" cy="244123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600">
              <a:solidFill>
                <a:schemeClr val="accent6">
                  <a:lumMod val="50000"/>
                </a:schemeClr>
              </a:solidFill>
            </a:rPr>
            <a:t>C1 - N2</a:t>
          </a:r>
        </a:p>
      </xdr:txBody>
    </xdr:sp>
    <xdr:clientData/>
  </xdr:twoCellAnchor>
  <xdr:twoCellAnchor>
    <xdr:from>
      <xdr:col>16</xdr:col>
      <xdr:colOff>126998</xdr:colOff>
      <xdr:row>1</xdr:row>
      <xdr:rowOff>191911</xdr:rowOff>
    </xdr:from>
    <xdr:to>
      <xdr:col>16</xdr:col>
      <xdr:colOff>462844</xdr:colOff>
      <xdr:row>2</xdr:row>
      <xdr:rowOff>136173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9205DF8C-96B1-D040-A0AA-DC0194A56E19}"/>
            </a:ext>
          </a:extLst>
        </xdr:cNvPr>
        <xdr:cNvCxnSpPr>
          <a:stCxn id="5" idx="3"/>
          <a:endCxn id="15" idx="2"/>
        </xdr:cNvCxnSpPr>
      </xdr:nvCxnSpPr>
      <xdr:spPr>
        <a:xfrm>
          <a:off x="13490220" y="396522"/>
          <a:ext cx="335846" cy="148873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275167</xdr:colOff>
      <xdr:row>1</xdr:row>
      <xdr:rowOff>181328</xdr:rowOff>
    </xdr:from>
    <xdr:to>
      <xdr:col>17</xdr:col>
      <xdr:colOff>561621</xdr:colOff>
      <xdr:row>2</xdr:row>
      <xdr:rowOff>112889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4707A7A-5EFD-3D41-A006-2E99C4ED475A}"/>
            </a:ext>
          </a:extLst>
        </xdr:cNvPr>
        <xdr:cNvCxnSpPr>
          <a:endCxn id="7" idx="1"/>
        </xdr:cNvCxnSpPr>
      </xdr:nvCxnSpPr>
      <xdr:spPr>
        <a:xfrm flipV="1">
          <a:off x="14717889" y="385939"/>
          <a:ext cx="286454" cy="136172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8467</xdr:colOff>
      <xdr:row>1</xdr:row>
      <xdr:rowOff>100188</xdr:rowOff>
    </xdr:from>
    <xdr:ext cx="2125967" cy="2930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97450A5-8C51-074E-B9A2-A7CBA6C03BC3}"/>
                </a:ext>
              </a:extLst>
            </xdr:cNvPr>
            <xdr:cNvSpPr txBox="1"/>
          </xdr:nvSpPr>
          <xdr:spPr>
            <a:xfrm>
              <a:off x="313267" y="303388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𝑁𝑜𝑟𝑚𝑎𝑙𝑖𝑧𝑎𝑐𝑖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s-419" sz="1000" b="0" i="0">
                            <a:latin typeface="Cambria Math" panose="02040503050406030204" pitchFamily="18" charset="0"/>
                          </a:rPr>
                          <m:t>m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𝑛𝑖𝑚𝑜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97450A5-8C51-074E-B9A2-A7CBA6C03BC3}"/>
                </a:ext>
              </a:extLst>
            </xdr:cNvPr>
            <xdr:cNvSpPr txBox="1"/>
          </xdr:nvSpPr>
          <xdr:spPr>
            <a:xfrm>
              <a:off x="313267" y="303388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𝑁𝑜𝑟𝑚𝑎𝑙𝑖𝑧𝑎𝑐𝑖ó𝑛=(x_i−má𝑥𝑖𝑚𝑜)/(𝑚á𝑥𝑖𝑚𝑜 −𝑚í𝑛𝑖𝑚𝑜)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3</xdr:col>
      <xdr:colOff>682978</xdr:colOff>
      <xdr:row>1</xdr:row>
      <xdr:rowOff>111477</xdr:rowOff>
    </xdr:from>
    <xdr:ext cx="1475339" cy="2841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7486603-6A9A-A442-9AAB-51CFED58B807}"/>
                </a:ext>
              </a:extLst>
            </xdr:cNvPr>
            <xdr:cNvSpPr txBox="1"/>
          </xdr:nvSpPr>
          <xdr:spPr>
            <a:xfrm>
              <a:off x="2638778" y="314677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𝐸𝑠𝑡𝑎𝑛𝑑𝑎𝑟𝑖𝑧𝑎𝑐𝑖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419" sz="1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7486603-6A9A-A442-9AAB-51CFED58B807}"/>
                </a:ext>
              </a:extLst>
            </xdr:cNvPr>
            <xdr:cNvSpPr txBox="1"/>
          </xdr:nvSpPr>
          <xdr:spPr>
            <a:xfrm>
              <a:off x="2638778" y="314677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𝐸𝑠𝑡𝑎𝑛𝑑𝑎𝑟𝑖𝑧𝑎𝑐𝑖ó𝑛=(x_i−𝑥 ̅)/𝜎</a:t>
              </a:r>
              <a:endParaRPr lang="es-MX" sz="10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8467</xdr:colOff>
      <xdr:row>1</xdr:row>
      <xdr:rowOff>100188</xdr:rowOff>
    </xdr:from>
    <xdr:ext cx="2125967" cy="2930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401E719-55C7-6149-BFD5-6BC60652A1E0}"/>
                </a:ext>
              </a:extLst>
            </xdr:cNvPr>
            <xdr:cNvSpPr txBox="1"/>
          </xdr:nvSpPr>
          <xdr:spPr>
            <a:xfrm>
              <a:off x="313267" y="303388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𝑁𝑜𝑟𝑚𝑎𝑙𝑖𝑧𝑎𝑐𝑖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s-419" sz="1000" b="0" i="0">
                            <a:latin typeface="Cambria Math" panose="02040503050406030204" pitchFamily="18" charset="0"/>
                          </a:rPr>
                          <m:t>m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𝑛𝑖𝑚𝑜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401E719-55C7-6149-BFD5-6BC60652A1E0}"/>
                </a:ext>
              </a:extLst>
            </xdr:cNvPr>
            <xdr:cNvSpPr txBox="1"/>
          </xdr:nvSpPr>
          <xdr:spPr>
            <a:xfrm>
              <a:off x="313267" y="303388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𝑁𝑜𝑟𝑚𝑎𝑙𝑖𝑧𝑎𝑐𝑖ó𝑛=(x_i−má𝑥𝑖𝑚𝑜)/(𝑚á𝑥𝑖𝑚𝑜 −𝑚í𝑛𝑖𝑚𝑜)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3</xdr:col>
      <xdr:colOff>682978</xdr:colOff>
      <xdr:row>1</xdr:row>
      <xdr:rowOff>111477</xdr:rowOff>
    </xdr:from>
    <xdr:ext cx="1475339" cy="2841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EAC1C46-401D-B946-ABE5-9C0BB544E767}"/>
                </a:ext>
              </a:extLst>
            </xdr:cNvPr>
            <xdr:cNvSpPr txBox="1"/>
          </xdr:nvSpPr>
          <xdr:spPr>
            <a:xfrm>
              <a:off x="2638778" y="314677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𝐸𝑠𝑡𝑎𝑛𝑑𝑎𝑟𝑖𝑧𝑎𝑐𝑖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419" sz="1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EAC1C46-401D-B946-ABE5-9C0BB544E767}"/>
                </a:ext>
              </a:extLst>
            </xdr:cNvPr>
            <xdr:cNvSpPr txBox="1"/>
          </xdr:nvSpPr>
          <xdr:spPr>
            <a:xfrm>
              <a:off x="2638778" y="314677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𝐸𝑠𝑡𝑎𝑛𝑑𝑎𝑟𝑖𝑧𝑎𝑐𝑖ó𝑛=(x_i−𝑥 ̅)/𝜎</a:t>
              </a:r>
              <a:endParaRPr lang="es-MX" sz="1000"/>
            </a:p>
          </xdr:txBody>
        </xdr:sp>
      </mc:Fallback>
    </mc:AlternateContent>
    <xdr:clientData/>
  </xdr:oneCellAnchor>
  <xdr:twoCellAnchor>
    <xdr:from>
      <xdr:col>15</xdr:col>
      <xdr:colOff>656167</xdr:colOff>
      <xdr:row>0</xdr:row>
      <xdr:rowOff>186268</xdr:rowOff>
    </xdr:from>
    <xdr:to>
      <xdr:col>16</xdr:col>
      <xdr:colOff>493889</xdr:colOff>
      <xdr:row>3</xdr:row>
      <xdr:rowOff>115711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A8A9D32-2BA5-4841-8973-13CA0ABB4741}"/>
            </a:ext>
          </a:extLst>
        </xdr:cNvPr>
        <xdr:cNvSpPr/>
      </xdr:nvSpPr>
      <xdr:spPr>
        <a:xfrm>
          <a:off x="12530667" y="186268"/>
          <a:ext cx="663222" cy="54327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Base</a:t>
          </a:r>
          <a:r>
            <a:rPr lang="es-MX" sz="1100" b="1" baseline="0">
              <a:solidFill>
                <a:schemeClr val="accent6">
                  <a:lumMod val="50000"/>
                </a:schemeClr>
              </a:solidFill>
            </a:rPr>
            <a:t> Datos</a:t>
          </a:r>
          <a:endParaRPr lang="es-MX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857955</xdr:colOff>
      <xdr:row>0</xdr:row>
      <xdr:rowOff>183445</xdr:rowOff>
    </xdr:from>
    <xdr:to>
      <xdr:col>18</xdr:col>
      <xdr:colOff>190499</xdr:colOff>
      <xdr:row>3</xdr:row>
      <xdr:rowOff>108655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4503A7B-5361-4142-837D-9C2E300E2F51}"/>
            </a:ext>
          </a:extLst>
        </xdr:cNvPr>
        <xdr:cNvSpPr/>
      </xdr:nvSpPr>
      <xdr:spPr>
        <a:xfrm>
          <a:off x="13557955" y="183445"/>
          <a:ext cx="1223433" cy="53904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Capa de Entrada</a:t>
          </a:r>
        </a:p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(Transformación)</a:t>
          </a:r>
        </a:p>
      </xdr:txBody>
    </xdr:sp>
    <xdr:clientData/>
  </xdr:twoCellAnchor>
  <xdr:twoCellAnchor>
    <xdr:from>
      <xdr:col>18</xdr:col>
      <xdr:colOff>550333</xdr:colOff>
      <xdr:row>0</xdr:row>
      <xdr:rowOff>169334</xdr:rowOff>
    </xdr:from>
    <xdr:to>
      <xdr:col>19</xdr:col>
      <xdr:colOff>317501</xdr:colOff>
      <xdr:row>2</xdr:row>
      <xdr:rowOff>42334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3FB2D66E-CBC7-6E45-8D13-16DF4879E590}"/>
            </a:ext>
          </a:extLst>
        </xdr:cNvPr>
        <xdr:cNvSpPr/>
      </xdr:nvSpPr>
      <xdr:spPr>
        <a:xfrm>
          <a:off x="15141222" y="169334"/>
          <a:ext cx="846668" cy="28222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600">
              <a:solidFill>
                <a:schemeClr val="accent6">
                  <a:lumMod val="50000"/>
                </a:schemeClr>
              </a:solidFill>
            </a:rPr>
            <a:t>C1 -</a:t>
          </a:r>
          <a:r>
            <a:rPr lang="es-MX" sz="600" baseline="0">
              <a:solidFill>
                <a:schemeClr val="accent6">
                  <a:lumMod val="50000"/>
                </a:schemeClr>
              </a:solidFill>
            </a:rPr>
            <a:t> N1</a:t>
          </a:r>
          <a:endParaRPr lang="es-MX" sz="6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653344</xdr:colOff>
      <xdr:row>0</xdr:row>
      <xdr:rowOff>141113</xdr:rowOff>
    </xdr:from>
    <xdr:to>
      <xdr:col>21</xdr:col>
      <xdr:colOff>491066</xdr:colOff>
      <xdr:row>3</xdr:row>
      <xdr:rowOff>59268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9B8F6A1D-F5F7-624D-B242-CE2702A408DC}"/>
            </a:ext>
          </a:extLst>
        </xdr:cNvPr>
        <xdr:cNvSpPr/>
      </xdr:nvSpPr>
      <xdr:spPr>
        <a:xfrm>
          <a:off x="17403233" y="141113"/>
          <a:ext cx="663222" cy="53198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accent6">
                  <a:lumMod val="50000"/>
                </a:schemeClr>
              </a:solidFill>
            </a:rPr>
            <a:t>Capa de Salida</a:t>
          </a:r>
        </a:p>
      </xdr:txBody>
    </xdr:sp>
    <xdr:clientData/>
  </xdr:twoCellAnchor>
  <xdr:twoCellAnchor>
    <xdr:from>
      <xdr:col>16</xdr:col>
      <xdr:colOff>493889</xdr:colOff>
      <xdr:row>2</xdr:row>
      <xdr:rowOff>43745</xdr:rowOff>
    </xdr:from>
    <xdr:to>
      <xdr:col>16</xdr:col>
      <xdr:colOff>857955</xdr:colOff>
      <xdr:row>2</xdr:row>
      <xdr:rowOff>48684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8B8A9316-00FA-9940-A0B8-235763FD3E75}"/>
            </a:ext>
          </a:extLst>
        </xdr:cNvPr>
        <xdr:cNvCxnSpPr>
          <a:stCxn id="4" idx="3"/>
          <a:endCxn id="5" idx="1"/>
        </xdr:cNvCxnSpPr>
      </xdr:nvCxnSpPr>
      <xdr:spPr>
        <a:xfrm flipV="1">
          <a:off x="13193889" y="452967"/>
          <a:ext cx="364066" cy="4939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190499</xdr:colOff>
      <xdr:row>1</xdr:row>
      <xdr:rowOff>105834</xdr:rowOff>
    </xdr:from>
    <xdr:to>
      <xdr:col>18</xdr:col>
      <xdr:colOff>550333</xdr:colOff>
      <xdr:row>2</xdr:row>
      <xdr:rowOff>43745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23FC9C97-3CFF-4647-8948-25554942E572}"/>
            </a:ext>
          </a:extLst>
        </xdr:cNvPr>
        <xdr:cNvCxnSpPr>
          <a:stCxn id="5" idx="3"/>
          <a:endCxn id="6" idx="2"/>
        </xdr:cNvCxnSpPr>
      </xdr:nvCxnSpPr>
      <xdr:spPr>
        <a:xfrm flipV="1">
          <a:off x="14781388" y="310445"/>
          <a:ext cx="359834" cy="142522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317501</xdr:colOff>
      <xdr:row>1</xdr:row>
      <xdr:rowOff>105834</xdr:rowOff>
    </xdr:from>
    <xdr:to>
      <xdr:col>19</xdr:col>
      <xdr:colOff>660400</xdr:colOff>
      <xdr:row>1</xdr:row>
      <xdr:rowOff>201790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8B55150-6EC4-A744-AF60-D371F22B8617}"/>
            </a:ext>
          </a:extLst>
        </xdr:cNvPr>
        <xdr:cNvCxnSpPr>
          <a:stCxn id="6" idx="6"/>
          <a:endCxn id="14" idx="2"/>
        </xdr:cNvCxnSpPr>
      </xdr:nvCxnSpPr>
      <xdr:spPr>
        <a:xfrm>
          <a:off x="15987890" y="310445"/>
          <a:ext cx="342899" cy="95956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526345</xdr:colOff>
      <xdr:row>2</xdr:row>
      <xdr:rowOff>70556</xdr:rowOff>
    </xdr:from>
    <xdr:to>
      <xdr:col>19</xdr:col>
      <xdr:colOff>293513</xdr:colOff>
      <xdr:row>3</xdr:row>
      <xdr:rowOff>162278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328792F4-F855-3242-B5F5-B75B504B71A3}"/>
            </a:ext>
          </a:extLst>
        </xdr:cNvPr>
        <xdr:cNvSpPr/>
      </xdr:nvSpPr>
      <xdr:spPr>
        <a:xfrm>
          <a:off x="15117234" y="479778"/>
          <a:ext cx="846668" cy="296333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600">
              <a:solidFill>
                <a:schemeClr val="accent6">
                  <a:lumMod val="50000"/>
                </a:schemeClr>
              </a:solidFill>
            </a:rPr>
            <a:t>C1 - N2</a:t>
          </a:r>
        </a:p>
      </xdr:txBody>
    </xdr:sp>
    <xdr:clientData/>
  </xdr:twoCellAnchor>
  <xdr:twoCellAnchor>
    <xdr:from>
      <xdr:col>20</xdr:col>
      <xdr:colOff>427568</xdr:colOff>
      <xdr:row>1</xdr:row>
      <xdr:rowOff>201790</xdr:rowOff>
    </xdr:from>
    <xdr:to>
      <xdr:col>20</xdr:col>
      <xdr:colOff>653344</xdr:colOff>
      <xdr:row>1</xdr:row>
      <xdr:rowOff>202496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541646C6-A1A0-ED42-A653-381BF2B04736}"/>
            </a:ext>
          </a:extLst>
        </xdr:cNvPr>
        <xdr:cNvCxnSpPr>
          <a:stCxn id="14" idx="6"/>
          <a:endCxn id="7" idx="1"/>
        </xdr:cNvCxnSpPr>
      </xdr:nvCxnSpPr>
      <xdr:spPr>
        <a:xfrm>
          <a:off x="17177457" y="406401"/>
          <a:ext cx="225776" cy="706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660400</xdr:colOff>
      <xdr:row>1</xdr:row>
      <xdr:rowOff>60679</xdr:rowOff>
    </xdr:from>
    <xdr:to>
      <xdr:col>20</xdr:col>
      <xdr:colOff>427568</xdr:colOff>
      <xdr:row>2</xdr:row>
      <xdr:rowOff>138290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C50EF5A4-0567-654D-AB4C-2F68287AF60E}"/>
            </a:ext>
          </a:extLst>
        </xdr:cNvPr>
        <xdr:cNvSpPr/>
      </xdr:nvSpPr>
      <xdr:spPr>
        <a:xfrm>
          <a:off x="16330789" y="265290"/>
          <a:ext cx="846668" cy="28222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600">
              <a:solidFill>
                <a:schemeClr val="accent6">
                  <a:lumMod val="50000"/>
                </a:schemeClr>
              </a:solidFill>
            </a:rPr>
            <a:t>C2 -</a:t>
          </a:r>
          <a:r>
            <a:rPr lang="es-MX" sz="600" baseline="0">
              <a:solidFill>
                <a:schemeClr val="accent6">
                  <a:lumMod val="50000"/>
                </a:schemeClr>
              </a:solidFill>
            </a:rPr>
            <a:t> N1</a:t>
          </a:r>
          <a:endParaRPr lang="es-MX" sz="6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18</xdr:col>
      <xdr:colOff>190499</xdr:colOff>
      <xdr:row>2</xdr:row>
      <xdr:rowOff>43745</xdr:rowOff>
    </xdr:from>
    <xdr:to>
      <xdr:col>18</xdr:col>
      <xdr:colOff>526345</xdr:colOff>
      <xdr:row>3</xdr:row>
      <xdr:rowOff>14112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F33975EB-22C8-2A4A-A826-8715F20453A7}"/>
            </a:ext>
          </a:extLst>
        </xdr:cNvPr>
        <xdr:cNvCxnSpPr>
          <a:stCxn id="5" idx="3"/>
          <a:endCxn id="11" idx="2"/>
        </xdr:cNvCxnSpPr>
      </xdr:nvCxnSpPr>
      <xdr:spPr>
        <a:xfrm>
          <a:off x="14781388" y="452967"/>
          <a:ext cx="335846" cy="174978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293513</xdr:colOff>
      <xdr:row>1</xdr:row>
      <xdr:rowOff>201790</xdr:rowOff>
    </xdr:from>
    <xdr:to>
      <xdr:col>19</xdr:col>
      <xdr:colOff>660400</xdr:colOff>
      <xdr:row>3</xdr:row>
      <xdr:rowOff>14112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3901CA44-BC74-B54C-850F-48ABE3AD95F9}"/>
            </a:ext>
          </a:extLst>
        </xdr:cNvPr>
        <xdr:cNvCxnSpPr>
          <a:stCxn id="11" idx="6"/>
          <a:endCxn id="14" idx="2"/>
        </xdr:cNvCxnSpPr>
      </xdr:nvCxnSpPr>
      <xdr:spPr>
        <a:xfrm flipV="1">
          <a:off x="15963902" y="406401"/>
          <a:ext cx="366887" cy="221544"/>
        </a:xfrm>
        <a:prstGeom prst="straightConnector1">
          <a:avLst/>
        </a:prstGeom>
        <a:ln w="12700"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128411</xdr:colOff>
      <xdr:row>1</xdr:row>
      <xdr:rowOff>15522</xdr:rowOff>
    </xdr:from>
    <xdr:ext cx="2125967" cy="2930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0D04CC0-22E3-6245-8F0A-EFB6D30484F9}"/>
                </a:ext>
              </a:extLst>
            </xdr:cNvPr>
            <xdr:cNvSpPr txBox="1"/>
          </xdr:nvSpPr>
          <xdr:spPr>
            <a:xfrm>
              <a:off x="2082800" y="220133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𝑁𝑜𝑟𝑚𝑎𝑙𝑖𝑧𝑎𝑐𝑖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s-419" sz="1000" b="0" i="0">
                            <a:latin typeface="Cambria Math" panose="02040503050406030204" pitchFamily="18" charset="0"/>
                          </a:rPr>
                          <m:t>m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𝑛𝑖𝑚𝑜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0D04CC0-22E3-6245-8F0A-EFB6D30484F9}"/>
                </a:ext>
              </a:extLst>
            </xdr:cNvPr>
            <xdr:cNvSpPr txBox="1"/>
          </xdr:nvSpPr>
          <xdr:spPr>
            <a:xfrm>
              <a:off x="2082800" y="220133"/>
              <a:ext cx="2125967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𝑁𝑜𝑟𝑚𝑎𝑙𝑖𝑧𝑎𝑐𝑖ó𝑛=(x_i−má𝑥𝑖𝑚𝑜)/(𝑚á𝑥𝑖𝑚𝑜 −𝑚í𝑛𝑖𝑚𝑜)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6</xdr:col>
      <xdr:colOff>90311</xdr:colOff>
      <xdr:row>1</xdr:row>
      <xdr:rowOff>47977</xdr:rowOff>
    </xdr:from>
    <xdr:ext cx="1475339" cy="2841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1552A0B-5E9E-E447-9C16-38FA69D0D272}"/>
                </a:ext>
              </a:extLst>
            </xdr:cNvPr>
            <xdr:cNvSpPr txBox="1"/>
          </xdr:nvSpPr>
          <xdr:spPr>
            <a:xfrm>
              <a:off x="4521200" y="252588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𝐸𝑠𝑡𝑎𝑛𝑑𝑎𝑟𝑖𝑧𝑎𝑐𝑖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0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s-419" sz="1000" b="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419" sz="1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1552A0B-5E9E-E447-9C16-38FA69D0D272}"/>
                </a:ext>
              </a:extLst>
            </xdr:cNvPr>
            <xdr:cNvSpPr txBox="1"/>
          </xdr:nvSpPr>
          <xdr:spPr>
            <a:xfrm>
              <a:off x="4521200" y="252588"/>
              <a:ext cx="1475339" cy="2841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𝐸𝑠𝑡𝑎𝑛𝑑𝑎𝑟𝑖𝑧𝑎𝑐𝑖ó𝑛=(x_i−𝑥 ̅)/𝜎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13</xdr:col>
      <xdr:colOff>270933</xdr:colOff>
      <xdr:row>3</xdr:row>
      <xdr:rowOff>84665</xdr:rowOff>
    </xdr:from>
    <xdr:ext cx="1425647" cy="3164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1DFE629-85EA-C84B-A95F-DCC0B70CF911}"/>
                </a:ext>
              </a:extLst>
            </xdr:cNvPr>
            <xdr:cNvSpPr txBox="1"/>
          </xdr:nvSpPr>
          <xdr:spPr>
            <a:xfrm>
              <a:off x="10706100" y="698498"/>
              <a:ext cx="1425647" cy="3164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𝑆𝑖𝑔𝑚𝑜𝑖𝑑𝑒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m:rPr>
                            <m:sty m:val="p"/>
                          </m:rPr>
                          <a:rPr lang="es-419" sz="1000" b="0" i="0">
                            <a:latin typeface="Cambria Math" panose="02040503050406030204" pitchFamily="18" charset="0"/>
                          </a:rPr>
                          <m:t>exp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⁡(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𝛽</m:t>
                        </m:r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1DFE629-85EA-C84B-A95F-DCC0B70CF911}"/>
                </a:ext>
              </a:extLst>
            </xdr:cNvPr>
            <xdr:cNvSpPr txBox="1"/>
          </xdr:nvSpPr>
          <xdr:spPr>
            <a:xfrm>
              <a:off x="10706100" y="698498"/>
              <a:ext cx="1425647" cy="3164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𝑆𝑖𝑔𝑚𝑜𝑖𝑑𝑒=1/(1+exp⁡(𝑋𝛽))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15</xdr:col>
      <xdr:colOff>472723</xdr:colOff>
      <xdr:row>3</xdr:row>
      <xdr:rowOff>32455</xdr:rowOff>
    </xdr:from>
    <xdr:ext cx="1013483" cy="2040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5D0A5C8-16FA-C744-B2B4-F42B170C1AB3}"/>
                </a:ext>
              </a:extLst>
            </xdr:cNvPr>
            <xdr:cNvSpPr txBox="1"/>
          </xdr:nvSpPr>
          <xdr:spPr>
            <a:xfrm>
              <a:off x="12347223" y="646288"/>
              <a:ext cx="1013483" cy="2040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𝐸𝑟𝑟𝑜𝑟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419" sz="10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419" sz="10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  <m:r>
                              <a:rPr lang="es-419" sz="1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̂"/>
                                <m:ctrlPr>
                                  <a:rPr lang="es-419" sz="1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419" sz="10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5D0A5C8-16FA-C744-B2B4-F42B170C1AB3}"/>
                </a:ext>
              </a:extLst>
            </xdr:cNvPr>
            <xdr:cNvSpPr txBox="1"/>
          </xdr:nvSpPr>
          <xdr:spPr>
            <a:xfrm>
              <a:off x="12347223" y="646288"/>
              <a:ext cx="1013483" cy="2040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𝐸𝑟𝑟𝑜𝑟=(𝑌−𝑌 ̂ )^2</a:t>
              </a:r>
              <a:endParaRPr lang="es-MX" sz="1000"/>
            </a:p>
          </xdr:txBody>
        </xdr:sp>
      </mc:Fallback>
    </mc:AlternateContent>
    <xdr:clientData/>
  </xdr:oneCellAnchor>
  <xdr:twoCellAnchor>
    <xdr:from>
      <xdr:col>7</xdr:col>
      <xdr:colOff>2481</xdr:colOff>
      <xdr:row>2</xdr:row>
      <xdr:rowOff>127546</xdr:rowOff>
    </xdr:from>
    <xdr:to>
      <xdr:col>7</xdr:col>
      <xdr:colOff>268111</xdr:colOff>
      <xdr:row>7</xdr:row>
      <xdr:rowOff>49389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51DD4699-8365-8406-6E92-AD8B7C870291}"/>
            </a:ext>
          </a:extLst>
        </xdr:cNvPr>
        <xdr:cNvCxnSpPr>
          <a:stCxn id="3" idx="2"/>
        </xdr:cNvCxnSpPr>
      </xdr:nvCxnSpPr>
      <xdr:spPr>
        <a:xfrm>
          <a:off x="5258870" y="536768"/>
          <a:ext cx="265630" cy="944899"/>
        </a:xfrm>
        <a:prstGeom prst="straightConnector1">
          <a:avLst/>
        </a:prstGeom>
        <a:ln>
          <a:solidFill>
            <a:srgbClr val="C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365895</xdr:colOff>
      <xdr:row>2</xdr:row>
      <xdr:rowOff>103940</xdr:rowOff>
    </xdr:from>
    <xdr:to>
      <xdr:col>6</xdr:col>
      <xdr:colOff>112889</xdr:colOff>
      <xdr:row>7</xdr:row>
      <xdr:rowOff>112889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C2C6AEF7-7847-FF43-83C9-4BD4FEFA37A5}"/>
            </a:ext>
          </a:extLst>
        </xdr:cNvPr>
        <xdr:cNvCxnSpPr>
          <a:stCxn id="2" idx="2"/>
        </xdr:cNvCxnSpPr>
      </xdr:nvCxnSpPr>
      <xdr:spPr>
        <a:xfrm>
          <a:off x="3145784" y="513162"/>
          <a:ext cx="1397994" cy="1032005"/>
        </a:xfrm>
        <a:prstGeom prst="straightConnector1">
          <a:avLst/>
        </a:prstGeom>
        <a:ln>
          <a:solidFill>
            <a:srgbClr val="C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500944</xdr:colOff>
      <xdr:row>4</xdr:row>
      <xdr:rowOff>196551</xdr:rowOff>
    </xdr:from>
    <xdr:to>
      <xdr:col>14</xdr:col>
      <xdr:colOff>588646</xdr:colOff>
      <xdr:row>7</xdr:row>
      <xdr:rowOff>49389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5FFD3809-1B8E-F440-9833-878E8C0053DB}"/>
            </a:ext>
          </a:extLst>
        </xdr:cNvPr>
        <xdr:cNvCxnSpPr>
          <a:stCxn id="4" idx="2"/>
        </xdr:cNvCxnSpPr>
      </xdr:nvCxnSpPr>
      <xdr:spPr>
        <a:xfrm flipH="1">
          <a:off x="11331222" y="1014995"/>
          <a:ext cx="87702" cy="466672"/>
        </a:xfrm>
        <a:prstGeom prst="straightConnector1">
          <a:avLst/>
        </a:prstGeom>
        <a:ln>
          <a:solidFill>
            <a:srgbClr val="C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153965</xdr:colOff>
      <xdr:row>4</xdr:row>
      <xdr:rowOff>31939</xdr:rowOff>
    </xdr:from>
    <xdr:to>
      <xdr:col>16</xdr:col>
      <xdr:colOff>282222</xdr:colOff>
      <xdr:row>7</xdr:row>
      <xdr:rowOff>141111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2DFD712-3C68-9743-BD1C-671BD76FED06}"/>
            </a:ext>
          </a:extLst>
        </xdr:cNvPr>
        <xdr:cNvCxnSpPr>
          <a:stCxn id="5" idx="2"/>
        </xdr:cNvCxnSpPr>
      </xdr:nvCxnSpPr>
      <xdr:spPr>
        <a:xfrm>
          <a:off x="12853965" y="850383"/>
          <a:ext cx="128257" cy="723006"/>
        </a:xfrm>
        <a:prstGeom prst="straightConnector1">
          <a:avLst/>
        </a:prstGeom>
        <a:ln>
          <a:solidFill>
            <a:srgbClr val="C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414867</xdr:colOff>
      <xdr:row>4</xdr:row>
      <xdr:rowOff>26811</xdr:rowOff>
    </xdr:from>
    <xdr:ext cx="1060418" cy="157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AE58275C-C3F5-A045-92F0-BCA0F327867D}"/>
                </a:ext>
              </a:extLst>
            </xdr:cNvPr>
            <xdr:cNvSpPr txBox="1"/>
          </xdr:nvSpPr>
          <xdr:spPr>
            <a:xfrm>
              <a:off x="7322256" y="845255"/>
              <a:ext cx="106041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419" sz="10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419" sz="10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𝑒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AE58275C-C3F5-A045-92F0-BCA0F327867D}"/>
                </a:ext>
              </a:extLst>
            </xdr:cNvPr>
            <xdr:cNvSpPr txBox="1"/>
          </xdr:nvSpPr>
          <xdr:spPr>
            <a:xfrm>
              <a:off x="7322256" y="845255"/>
              <a:ext cx="106041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𝑌=𝛽_0+𝛽_1 𝑋_1+𝑒 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11</xdr:col>
      <xdr:colOff>299157</xdr:colOff>
      <xdr:row>4</xdr:row>
      <xdr:rowOff>23989</xdr:rowOff>
    </xdr:from>
    <xdr:ext cx="1060418" cy="157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1C7914FB-8BC4-0244-BCA0-186E57DFFDD4}"/>
                </a:ext>
              </a:extLst>
            </xdr:cNvPr>
            <xdr:cNvSpPr txBox="1"/>
          </xdr:nvSpPr>
          <xdr:spPr>
            <a:xfrm>
              <a:off x="9294990" y="842433"/>
              <a:ext cx="106041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0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419" sz="10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es-419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419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419" sz="10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𝑒</m:t>
                    </m:r>
                    <m:r>
                      <a:rPr lang="es-419" sz="10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1C7914FB-8BC4-0244-BCA0-186E57DFFDD4}"/>
                </a:ext>
              </a:extLst>
            </xdr:cNvPr>
            <xdr:cNvSpPr txBox="1"/>
          </xdr:nvSpPr>
          <xdr:spPr>
            <a:xfrm>
              <a:off x="9294990" y="842433"/>
              <a:ext cx="106041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000" b="0" i="0">
                  <a:latin typeface="Cambria Math" panose="02040503050406030204" pitchFamily="18" charset="0"/>
                </a:rPr>
                <a:t>𝑌=𝛽_0+𝛽_1 𝑋_1+𝑒 </a:t>
              </a:r>
              <a:endParaRPr lang="es-MX" sz="1000"/>
            </a:p>
          </xdr:txBody>
        </xdr:sp>
      </mc:Fallback>
    </mc:AlternateContent>
    <xdr:clientData/>
  </xdr:oneCellAnchor>
  <xdr:twoCellAnchor>
    <xdr:from>
      <xdr:col>9</xdr:col>
      <xdr:colOff>839611</xdr:colOff>
      <xdr:row>4</xdr:row>
      <xdr:rowOff>184803</xdr:rowOff>
    </xdr:from>
    <xdr:to>
      <xdr:col>9</xdr:col>
      <xdr:colOff>945076</xdr:colOff>
      <xdr:row>7</xdr:row>
      <xdr:rowOff>105833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B6C613-6469-8748-8183-535FB91D6DBE}"/>
            </a:ext>
          </a:extLst>
        </xdr:cNvPr>
        <xdr:cNvCxnSpPr>
          <a:stCxn id="20" idx="2"/>
        </xdr:cNvCxnSpPr>
      </xdr:nvCxnSpPr>
      <xdr:spPr>
        <a:xfrm flipH="1">
          <a:off x="7747000" y="1003247"/>
          <a:ext cx="105465" cy="534864"/>
        </a:xfrm>
        <a:prstGeom prst="straightConnector1">
          <a:avLst/>
        </a:prstGeom>
        <a:ln>
          <a:solidFill>
            <a:srgbClr val="C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945076</xdr:colOff>
      <xdr:row>4</xdr:row>
      <xdr:rowOff>184803</xdr:rowOff>
    </xdr:from>
    <xdr:to>
      <xdr:col>10</xdr:col>
      <xdr:colOff>218722</xdr:colOff>
      <xdr:row>7</xdr:row>
      <xdr:rowOff>105833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8670F05F-43B0-DF40-AC1B-0B645B9F6DC0}"/>
            </a:ext>
          </a:extLst>
        </xdr:cNvPr>
        <xdr:cNvCxnSpPr>
          <a:stCxn id="20" idx="2"/>
        </xdr:cNvCxnSpPr>
      </xdr:nvCxnSpPr>
      <xdr:spPr>
        <a:xfrm>
          <a:off x="7852465" y="1003247"/>
          <a:ext cx="317868" cy="534864"/>
        </a:xfrm>
        <a:prstGeom prst="straightConnector1">
          <a:avLst/>
        </a:prstGeom>
        <a:ln>
          <a:solidFill>
            <a:srgbClr val="C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434255</xdr:colOff>
      <xdr:row>4</xdr:row>
      <xdr:rowOff>181981</xdr:rowOff>
    </xdr:from>
    <xdr:to>
      <xdr:col>12</xdr:col>
      <xdr:colOff>444500</xdr:colOff>
      <xdr:row>7</xdr:row>
      <xdr:rowOff>35278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75876F01-DB1B-9E46-BBBD-2808DF9C48CD}"/>
            </a:ext>
          </a:extLst>
        </xdr:cNvPr>
        <xdr:cNvCxnSpPr>
          <a:stCxn id="21" idx="2"/>
        </xdr:cNvCxnSpPr>
      </xdr:nvCxnSpPr>
      <xdr:spPr>
        <a:xfrm>
          <a:off x="9825199" y="1000425"/>
          <a:ext cx="10245" cy="467131"/>
        </a:xfrm>
        <a:prstGeom prst="straightConnector1">
          <a:avLst/>
        </a:prstGeom>
        <a:ln>
          <a:solidFill>
            <a:srgbClr val="C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D885-3734-7F46-B729-233AB73E79DA}">
  <dimension ref="B2:Q39"/>
  <sheetViews>
    <sheetView showGridLines="0" tabSelected="1" topLeftCell="E1" zoomScale="180" workbookViewId="0">
      <selection activeCell="R4" sqref="R4"/>
    </sheetView>
  </sheetViews>
  <sheetFormatPr baseColWidth="10" defaultRowHeight="16" x14ac:dyDescent="0.2"/>
  <cols>
    <col min="1" max="1" width="4" style="1" customWidth="1"/>
    <col min="2" max="9" width="10.83203125" style="1"/>
    <col min="10" max="10" width="13.6640625" style="1" bestFit="1" customWidth="1"/>
    <col min="11" max="13" width="10.83203125" style="1"/>
    <col min="14" max="14" width="14" style="1" bestFit="1" customWidth="1"/>
    <col min="15" max="15" width="10.83203125" style="1"/>
    <col min="16" max="16" width="14.1640625" style="1" bestFit="1" customWidth="1"/>
    <col min="17" max="17" width="14.1640625" style="1" customWidth="1"/>
    <col min="18" max="16384" width="10.83203125" style="1"/>
  </cols>
  <sheetData>
    <row r="2" spans="2:17" x14ac:dyDescent="0.2">
      <c r="I2" s="2" t="s">
        <v>3</v>
      </c>
      <c r="J2" s="9">
        <v>0</v>
      </c>
      <c r="L2" s="9">
        <v>0.35016708292158572</v>
      </c>
    </row>
    <row r="3" spans="2:17" x14ac:dyDescent="0.2">
      <c r="I3" s="2" t="s">
        <v>4</v>
      </c>
      <c r="J3" s="9">
        <v>4.1471348787893083</v>
      </c>
      <c r="L3" s="9">
        <v>6.6129146116565091E-2</v>
      </c>
    </row>
    <row r="4" spans="2:17" x14ac:dyDescent="0.2">
      <c r="I4" s="2" t="s">
        <v>5</v>
      </c>
      <c r="J4" s="9">
        <v>0</v>
      </c>
    </row>
    <row r="5" spans="2:17" x14ac:dyDescent="0.2">
      <c r="P5" s="16">
        <f>+AVERAGE(Q8:Q27)</f>
        <v>0.6</v>
      </c>
      <c r="Q5" s="16"/>
    </row>
    <row r="6" spans="2:17" x14ac:dyDescent="0.2">
      <c r="B6" s="14" t="s">
        <v>14</v>
      </c>
      <c r="C6" s="5" t="s">
        <v>6</v>
      </c>
      <c r="D6" s="5" t="s">
        <v>7</v>
      </c>
      <c r="E6" s="5" t="s">
        <v>8</v>
      </c>
      <c r="G6" s="12" t="s">
        <v>9</v>
      </c>
      <c r="H6" s="12"/>
      <c r="J6" s="5" t="s">
        <v>12</v>
      </c>
      <c r="L6" s="5" t="s">
        <v>15</v>
      </c>
      <c r="N6" s="7">
        <f>+SUM(N8:N27)</f>
        <v>4.5479381773487813</v>
      </c>
      <c r="P6" s="13" t="s">
        <v>18</v>
      </c>
      <c r="Q6" s="13"/>
    </row>
    <row r="7" spans="2:17" x14ac:dyDescent="0.2">
      <c r="B7" s="15"/>
      <c r="C7" s="5" t="s">
        <v>0</v>
      </c>
      <c r="D7" s="5" t="s">
        <v>1</v>
      </c>
      <c r="E7" s="5" t="s">
        <v>2</v>
      </c>
      <c r="G7" s="6" t="s">
        <v>10</v>
      </c>
      <c r="H7" s="6" t="s">
        <v>11</v>
      </c>
      <c r="J7" s="5" t="s">
        <v>13</v>
      </c>
      <c r="L7" s="5" t="s">
        <v>16</v>
      </c>
      <c r="N7" s="8" t="s">
        <v>17</v>
      </c>
      <c r="P7" s="5" t="s">
        <v>19</v>
      </c>
      <c r="Q7" s="5" t="s">
        <v>20</v>
      </c>
    </row>
    <row r="8" spans="2:17" x14ac:dyDescent="0.2">
      <c r="B8" s="5">
        <v>1</v>
      </c>
      <c r="C8" s="5">
        <v>1</v>
      </c>
      <c r="D8" s="5">
        <v>42</v>
      </c>
      <c r="E8" s="5">
        <v>0</v>
      </c>
      <c r="G8" s="4">
        <f>+(D8-MIN($D$8:$D$27))/(MAX($D$8:$D$27)-MIN($D$8:$D$27))</f>
        <v>0.47727272727272729</v>
      </c>
      <c r="H8" s="4">
        <f>+(E8-AVERAGE($E$8:$E$27))/STDEV($E$8:$E$27)</f>
        <v>-1.0859605632008862</v>
      </c>
      <c r="J8" s="4">
        <f>+$J$2+($J$3*G8)+($J$4*H8)</f>
        <v>1.9793143739676244</v>
      </c>
      <c r="L8" s="4">
        <f>+$L$2+($L$3*J8)</f>
        <v>0.48105745236830832</v>
      </c>
      <c r="M8" s="4"/>
      <c r="N8" s="4">
        <f>+(L8-C8)^2</f>
        <v>0.2693013677424706</v>
      </c>
      <c r="P8" s="3">
        <f>+IF(L8&gt;0.5,1,0)</f>
        <v>0</v>
      </c>
      <c r="Q8" s="3">
        <f>+IF(P8=C8,1,0)</f>
        <v>0</v>
      </c>
    </row>
    <row r="9" spans="2:17" x14ac:dyDescent="0.2">
      <c r="B9" s="5">
        <v>2</v>
      </c>
      <c r="C9" s="5">
        <v>0</v>
      </c>
      <c r="D9" s="5">
        <v>60</v>
      </c>
      <c r="E9" s="5">
        <v>0</v>
      </c>
      <c r="G9" s="4">
        <f t="shared" ref="G9:G27" si="0">+(D9-MIN($D$8:$D$27))/(MAX($D$8:$D$27)-MIN($D$8:$D$27))</f>
        <v>0.88636363636363635</v>
      </c>
      <c r="H9" s="4">
        <f t="shared" ref="H9:H27" si="1">+(E9-AVERAGE($E$8:$E$27))/STDEV($E$8:$E$27)</f>
        <v>-1.0859605632008862</v>
      </c>
      <c r="J9" s="4">
        <f t="shared" ref="J9:J27" si="2">+$J$2+($J$3*G9)+($J$4*H9)</f>
        <v>3.6758695516541597</v>
      </c>
      <c r="L9" s="4">
        <f t="shared" ref="L9:L27" si="3">+$L$2+($L$3*J9)</f>
        <v>0.59324919760835626</v>
      </c>
      <c r="M9" s="4"/>
      <c r="N9" s="4">
        <f t="shared" ref="N9:N27" si="4">+(L9-C9)^2</f>
        <v>0.35194461046295855</v>
      </c>
      <c r="P9" s="3">
        <f t="shared" ref="P9:P27" si="5">+IF(L9&gt;0.5,1,0)</f>
        <v>1</v>
      </c>
      <c r="Q9" s="3">
        <f t="shared" ref="Q9:Q27" si="6">+IF(P9=C9,1,0)</f>
        <v>0</v>
      </c>
    </row>
    <row r="10" spans="2:17" x14ac:dyDescent="0.2">
      <c r="B10" s="5">
        <v>3</v>
      </c>
      <c r="C10" s="5">
        <v>1</v>
      </c>
      <c r="D10" s="5">
        <v>27</v>
      </c>
      <c r="E10" s="5">
        <v>1</v>
      </c>
      <c r="G10" s="4">
        <f t="shared" si="0"/>
        <v>0.13636363636363635</v>
      </c>
      <c r="H10" s="4">
        <f t="shared" si="1"/>
        <v>-0.18099342720014769</v>
      </c>
      <c r="J10" s="4">
        <f t="shared" si="2"/>
        <v>0.5655183925621784</v>
      </c>
      <c r="L10" s="4">
        <f t="shared" si="3"/>
        <v>0.38756433133493501</v>
      </c>
      <c r="M10" s="4"/>
      <c r="N10" s="4">
        <f t="shared" si="4"/>
        <v>0.3750774482532252</v>
      </c>
      <c r="P10" s="3">
        <f t="shared" si="5"/>
        <v>0</v>
      </c>
      <c r="Q10" s="3">
        <f t="shared" si="6"/>
        <v>0</v>
      </c>
    </row>
    <row r="11" spans="2:17" x14ac:dyDescent="0.2">
      <c r="B11" s="5">
        <v>4</v>
      </c>
      <c r="C11" s="5">
        <v>0</v>
      </c>
      <c r="D11" s="5">
        <v>31</v>
      </c>
      <c r="E11" s="5">
        <v>0</v>
      </c>
      <c r="G11" s="4">
        <f t="shared" si="0"/>
        <v>0.22727272727272727</v>
      </c>
      <c r="H11" s="4">
        <f t="shared" si="1"/>
        <v>-1.0859605632008862</v>
      </c>
      <c r="J11" s="4">
        <f t="shared" si="2"/>
        <v>0.94253065427029736</v>
      </c>
      <c r="L11" s="4">
        <f t="shared" si="3"/>
        <v>0.41249583027716791</v>
      </c>
      <c r="M11" s="4"/>
      <c r="N11" s="4">
        <f t="shared" si="4"/>
        <v>0.17015280999605012</v>
      </c>
      <c r="P11" s="3">
        <f t="shared" si="5"/>
        <v>0</v>
      </c>
      <c r="Q11" s="3">
        <f t="shared" si="6"/>
        <v>1</v>
      </c>
    </row>
    <row r="12" spans="2:17" x14ac:dyDescent="0.2">
      <c r="B12" s="5">
        <v>5</v>
      </c>
      <c r="C12" s="5">
        <v>1</v>
      </c>
      <c r="D12" s="5">
        <v>65</v>
      </c>
      <c r="E12" s="5">
        <v>1</v>
      </c>
      <c r="G12" s="4">
        <f t="shared" si="0"/>
        <v>1</v>
      </c>
      <c r="H12" s="4">
        <f t="shared" si="1"/>
        <v>-0.18099342720014769</v>
      </c>
      <c r="J12" s="4">
        <f t="shared" si="2"/>
        <v>4.1471348787893083</v>
      </c>
      <c r="L12" s="4">
        <f t="shared" si="3"/>
        <v>0.62441357128614738</v>
      </c>
      <c r="M12" s="4"/>
      <c r="N12" s="4">
        <f t="shared" si="4"/>
        <v>0.14106516543402589</v>
      </c>
      <c r="P12" s="3">
        <f t="shared" si="5"/>
        <v>1</v>
      </c>
      <c r="Q12" s="3">
        <f t="shared" si="6"/>
        <v>1</v>
      </c>
    </row>
    <row r="13" spans="2:17" x14ac:dyDescent="0.2">
      <c r="B13" s="5">
        <v>6</v>
      </c>
      <c r="C13" s="5">
        <v>0</v>
      </c>
      <c r="D13" s="5">
        <v>39</v>
      </c>
      <c r="E13" s="5">
        <v>0</v>
      </c>
      <c r="G13" s="4">
        <f t="shared" si="0"/>
        <v>0.40909090909090912</v>
      </c>
      <c r="H13" s="4">
        <f t="shared" si="1"/>
        <v>-1.0859605632008862</v>
      </c>
      <c r="J13" s="4">
        <f t="shared" si="2"/>
        <v>1.6965551776865353</v>
      </c>
      <c r="L13" s="4">
        <f t="shared" si="3"/>
        <v>0.46235882816163365</v>
      </c>
      <c r="M13" s="4"/>
      <c r="N13" s="4">
        <f t="shared" si="4"/>
        <v>0.21377568597899907</v>
      </c>
      <c r="P13" s="3">
        <f t="shared" si="5"/>
        <v>0</v>
      </c>
      <c r="Q13" s="3">
        <f t="shared" si="6"/>
        <v>1</v>
      </c>
    </row>
    <row r="14" spans="2:17" x14ac:dyDescent="0.2">
      <c r="B14" s="5">
        <v>7</v>
      </c>
      <c r="C14" s="5">
        <v>1</v>
      </c>
      <c r="D14" s="5">
        <v>37</v>
      </c>
      <c r="E14" s="5">
        <v>2</v>
      </c>
      <c r="G14" s="4">
        <f t="shared" si="0"/>
        <v>0.36363636363636365</v>
      </c>
      <c r="H14" s="4">
        <f t="shared" si="1"/>
        <v>0.72397370880059086</v>
      </c>
      <c r="J14" s="4">
        <f t="shared" si="2"/>
        <v>1.5080490468324759</v>
      </c>
      <c r="L14" s="4">
        <f t="shared" si="3"/>
        <v>0.4498930786905172</v>
      </c>
      <c r="M14" s="4"/>
      <c r="N14" s="4">
        <f t="shared" si="4"/>
        <v>0.30261762487259752</v>
      </c>
      <c r="P14" s="3">
        <f t="shared" si="5"/>
        <v>0</v>
      </c>
      <c r="Q14" s="3">
        <f t="shared" si="6"/>
        <v>0</v>
      </c>
    </row>
    <row r="15" spans="2:17" x14ac:dyDescent="0.2">
      <c r="B15" s="5">
        <v>8</v>
      </c>
      <c r="C15" s="5">
        <v>0</v>
      </c>
      <c r="D15" s="5">
        <v>21</v>
      </c>
      <c r="E15" s="5">
        <v>2</v>
      </c>
      <c r="G15" s="4">
        <f t="shared" si="0"/>
        <v>0</v>
      </c>
      <c r="H15" s="4">
        <f t="shared" si="1"/>
        <v>0.72397370880059086</v>
      </c>
      <c r="J15" s="4">
        <f t="shared" si="2"/>
        <v>0</v>
      </c>
      <c r="L15" s="4">
        <f t="shared" si="3"/>
        <v>0.35016708292158572</v>
      </c>
      <c r="M15" s="4"/>
      <c r="N15" s="4">
        <f t="shared" si="4"/>
        <v>0.12261698596181268</v>
      </c>
      <c r="P15" s="3">
        <f t="shared" si="5"/>
        <v>0</v>
      </c>
      <c r="Q15" s="3">
        <f t="shared" si="6"/>
        <v>1</v>
      </c>
    </row>
    <row r="16" spans="2:17" x14ac:dyDescent="0.2">
      <c r="B16" s="5">
        <v>9</v>
      </c>
      <c r="C16" s="5">
        <v>1</v>
      </c>
      <c r="D16" s="5">
        <v>62</v>
      </c>
      <c r="E16" s="5">
        <v>0</v>
      </c>
      <c r="G16" s="4">
        <f t="shared" si="0"/>
        <v>0.93181818181818177</v>
      </c>
      <c r="H16" s="4">
        <f t="shared" si="1"/>
        <v>-1.0859605632008862</v>
      </c>
      <c r="J16" s="4">
        <f t="shared" si="2"/>
        <v>3.8643756825082187</v>
      </c>
      <c r="L16" s="4">
        <f t="shared" si="3"/>
        <v>0.60571494707947271</v>
      </c>
      <c r="M16" s="4"/>
      <c r="N16" s="4">
        <f t="shared" si="4"/>
        <v>0.15546070295654302</v>
      </c>
      <c r="P16" s="3">
        <f t="shared" si="5"/>
        <v>1</v>
      </c>
      <c r="Q16" s="3">
        <f t="shared" si="6"/>
        <v>1</v>
      </c>
    </row>
    <row r="17" spans="2:17" x14ac:dyDescent="0.2">
      <c r="B17" s="5">
        <v>10</v>
      </c>
      <c r="C17" s="5">
        <v>0</v>
      </c>
      <c r="D17" s="5">
        <v>32</v>
      </c>
      <c r="E17" s="5">
        <v>2</v>
      </c>
      <c r="G17" s="4">
        <f t="shared" si="0"/>
        <v>0.25</v>
      </c>
      <c r="H17" s="4">
        <f t="shared" si="1"/>
        <v>0.72397370880059086</v>
      </c>
      <c r="J17" s="4">
        <f t="shared" si="2"/>
        <v>1.0367837196973271</v>
      </c>
      <c r="L17" s="4">
        <f t="shared" si="3"/>
        <v>0.41872870501272613</v>
      </c>
      <c r="M17" s="4"/>
      <c r="N17" s="4">
        <f t="shared" si="4"/>
        <v>0.17533372840163461</v>
      </c>
      <c r="P17" s="3">
        <f t="shared" si="5"/>
        <v>0</v>
      </c>
      <c r="Q17" s="3">
        <f t="shared" si="6"/>
        <v>1</v>
      </c>
    </row>
    <row r="18" spans="2:17" x14ac:dyDescent="0.2">
      <c r="B18" s="5">
        <v>11</v>
      </c>
      <c r="C18" s="5">
        <v>0</v>
      </c>
      <c r="D18" s="5">
        <v>26</v>
      </c>
      <c r="E18" s="5">
        <v>1</v>
      </c>
      <c r="G18" s="4">
        <f t="shared" si="0"/>
        <v>0.11363636363636363</v>
      </c>
      <c r="H18" s="4">
        <f t="shared" si="1"/>
        <v>-0.18099342720014769</v>
      </c>
      <c r="J18" s="4">
        <f t="shared" si="2"/>
        <v>0.47126532713514868</v>
      </c>
      <c r="L18" s="4">
        <f t="shared" si="3"/>
        <v>0.38133145659937678</v>
      </c>
      <c r="M18" s="4"/>
      <c r="N18" s="4">
        <f t="shared" si="4"/>
        <v>0.14541367979220238</v>
      </c>
      <c r="P18" s="3">
        <f t="shared" si="5"/>
        <v>0</v>
      </c>
      <c r="Q18" s="3">
        <f t="shared" si="6"/>
        <v>1</v>
      </c>
    </row>
    <row r="19" spans="2:17" x14ac:dyDescent="0.2">
      <c r="B19" s="5">
        <v>12</v>
      </c>
      <c r="C19" s="5">
        <v>1</v>
      </c>
      <c r="D19" s="5">
        <v>33</v>
      </c>
      <c r="E19" s="5">
        <v>0</v>
      </c>
      <c r="G19" s="4">
        <f t="shared" si="0"/>
        <v>0.27272727272727271</v>
      </c>
      <c r="H19" s="4">
        <f t="shared" si="1"/>
        <v>-1.0859605632008862</v>
      </c>
      <c r="J19" s="4">
        <f t="shared" si="2"/>
        <v>1.1310367851243568</v>
      </c>
      <c r="L19" s="4">
        <f t="shared" si="3"/>
        <v>0.42496157974828436</v>
      </c>
      <c r="M19" s="4"/>
      <c r="N19" s="4">
        <f t="shared" si="4"/>
        <v>0.33066918476558865</v>
      </c>
      <c r="P19" s="3">
        <f t="shared" si="5"/>
        <v>0</v>
      </c>
      <c r="Q19" s="3">
        <f t="shared" si="6"/>
        <v>0</v>
      </c>
    </row>
    <row r="20" spans="2:17" x14ac:dyDescent="0.2">
      <c r="B20" s="5">
        <v>13</v>
      </c>
      <c r="C20" s="5">
        <v>1</v>
      </c>
      <c r="D20" s="5">
        <v>61</v>
      </c>
      <c r="E20" s="5">
        <v>1</v>
      </c>
      <c r="G20" s="4">
        <f t="shared" si="0"/>
        <v>0.90909090909090906</v>
      </c>
      <c r="H20" s="4">
        <f t="shared" si="1"/>
        <v>-0.18099342720014769</v>
      </c>
      <c r="J20" s="4">
        <f t="shared" si="2"/>
        <v>3.7701226170811895</v>
      </c>
      <c r="L20" s="4">
        <f t="shared" si="3"/>
        <v>0.59948207234391448</v>
      </c>
      <c r="M20" s="4"/>
      <c r="N20" s="4">
        <f t="shared" si="4"/>
        <v>0.16041461037392535</v>
      </c>
      <c r="P20" s="3">
        <f t="shared" si="5"/>
        <v>1</v>
      </c>
      <c r="Q20" s="3">
        <f t="shared" si="6"/>
        <v>1</v>
      </c>
    </row>
    <row r="21" spans="2:17" x14ac:dyDescent="0.2">
      <c r="B21" s="5">
        <v>14</v>
      </c>
      <c r="C21" s="5">
        <v>0</v>
      </c>
      <c r="D21" s="5">
        <v>30</v>
      </c>
      <c r="E21" s="5">
        <v>2</v>
      </c>
      <c r="G21" s="4">
        <f t="shared" si="0"/>
        <v>0.20454545454545456</v>
      </c>
      <c r="H21" s="4">
        <f t="shared" si="1"/>
        <v>0.72397370880059086</v>
      </c>
      <c r="J21" s="4">
        <f t="shared" si="2"/>
        <v>0.84827758884326765</v>
      </c>
      <c r="L21" s="4">
        <f t="shared" si="3"/>
        <v>0.40626295554160968</v>
      </c>
      <c r="M21" s="4"/>
      <c r="N21" s="4">
        <f t="shared" si="4"/>
        <v>0.16504958904540393</v>
      </c>
      <c r="P21" s="3">
        <f t="shared" si="5"/>
        <v>0</v>
      </c>
      <c r="Q21" s="3">
        <f t="shared" si="6"/>
        <v>1</v>
      </c>
    </row>
    <row r="22" spans="2:17" x14ac:dyDescent="0.2">
      <c r="B22" s="5">
        <v>15</v>
      </c>
      <c r="C22" s="5">
        <v>0</v>
      </c>
      <c r="D22" s="5">
        <v>52</v>
      </c>
      <c r="E22" s="5">
        <v>3</v>
      </c>
      <c r="G22" s="4">
        <f t="shared" si="0"/>
        <v>0.70454545454545459</v>
      </c>
      <c r="H22" s="4">
        <f t="shared" si="1"/>
        <v>1.6289408448013294</v>
      </c>
      <c r="J22" s="4">
        <f t="shared" si="2"/>
        <v>2.921845028237922</v>
      </c>
      <c r="L22" s="4">
        <f t="shared" si="3"/>
        <v>0.54338619972389046</v>
      </c>
      <c r="M22" s="4"/>
      <c r="N22" s="4">
        <f t="shared" si="4"/>
        <v>0.29526856205037177</v>
      </c>
      <c r="P22" s="3">
        <f t="shared" si="5"/>
        <v>1</v>
      </c>
      <c r="Q22" s="3">
        <f t="shared" si="6"/>
        <v>0</v>
      </c>
    </row>
    <row r="23" spans="2:17" x14ac:dyDescent="0.2">
      <c r="B23" s="5">
        <v>16</v>
      </c>
      <c r="C23" s="5">
        <v>1</v>
      </c>
      <c r="D23" s="5">
        <v>30</v>
      </c>
      <c r="E23" s="5">
        <v>3</v>
      </c>
      <c r="G23" s="4">
        <f t="shared" si="0"/>
        <v>0.20454545454545456</v>
      </c>
      <c r="H23" s="4">
        <f t="shared" si="1"/>
        <v>1.6289408448013294</v>
      </c>
      <c r="J23" s="4">
        <f t="shared" si="2"/>
        <v>0.84827758884326765</v>
      </c>
      <c r="L23" s="4">
        <f t="shared" si="3"/>
        <v>0.40626295554160968</v>
      </c>
      <c r="M23" s="4"/>
      <c r="N23" s="4">
        <f t="shared" si="4"/>
        <v>0.35252367796218448</v>
      </c>
      <c r="P23" s="3">
        <f t="shared" si="5"/>
        <v>0</v>
      </c>
      <c r="Q23" s="3">
        <f t="shared" si="6"/>
        <v>0</v>
      </c>
    </row>
    <row r="24" spans="2:17" x14ac:dyDescent="0.2">
      <c r="B24" s="5">
        <v>17</v>
      </c>
      <c r="C24" s="5">
        <v>1</v>
      </c>
      <c r="D24" s="5">
        <v>47</v>
      </c>
      <c r="E24" s="5">
        <v>2</v>
      </c>
      <c r="G24" s="4">
        <f t="shared" si="0"/>
        <v>0.59090909090909094</v>
      </c>
      <c r="H24" s="4">
        <f t="shared" si="1"/>
        <v>0.72397370880059086</v>
      </c>
      <c r="J24" s="4">
        <f t="shared" si="2"/>
        <v>2.450579701102773</v>
      </c>
      <c r="L24" s="4">
        <f t="shared" si="3"/>
        <v>0.51222182604609934</v>
      </c>
      <c r="M24" s="4"/>
      <c r="N24" s="4">
        <f t="shared" si="4"/>
        <v>0.23792754698580176</v>
      </c>
      <c r="P24" s="3">
        <f t="shared" si="5"/>
        <v>1</v>
      </c>
      <c r="Q24" s="3">
        <f t="shared" si="6"/>
        <v>1</v>
      </c>
    </row>
    <row r="25" spans="2:17" x14ac:dyDescent="0.2">
      <c r="B25" s="5">
        <v>18</v>
      </c>
      <c r="C25" s="5">
        <v>1</v>
      </c>
      <c r="D25" s="5">
        <v>57</v>
      </c>
      <c r="E25" s="5">
        <v>0</v>
      </c>
      <c r="G25" s="4">
        <f t="shared" si="0"/>
        <v>0.81818181818181823</v>
      </c>
      <c r="H25" s="4">
        <f t="shared" si="1"/>
        <v>-1.0859605632008862</v>
      </c>
      <c r="J25" s="4">
        <f t="shared" si="2"/>
        <v>3.3931103553730706</v>
      </c>
      <c r="L25" s="4">
        <f t="shared" si="3"/>
        <v>0.57455057340168159</v>
      </c>
      <c r="M25" s="4"/>
      <c r="N25" s="4">
        <f t="shared" si="4"/>
        <v>0.18100721459283792</v>
      </c>
      <c r="P25" s="3">
        <f t="shared" si="5"/>
        <v>1</v>
      </c>
      <c r="Q25" s="3">
        <f t="shared" si="6"/>
        <v>1</v>
      </c>
    </row>
    <row r="26" spans="2:17" x14ac:dyDescent="0.2">
      <c r="B26" s="5">
        <v>19</v>
      </c>
      <c r="C26" s="5">
        <v>0</v>
      </c>
      <c r="D26" s="5">
        <v>49</v>
      </c>
      <c r="E26" s="5">
        <v>3</v>
      </c>
      <c r="G26" s="4">
        <f t="shared" si="0"/>
        <v>0.63636363636363635</v>
      </c>
      <c r="H26" s="4">
        <f t="shared" si="1"/>
        <v>1.6289408448013294</v>
      </c>
      <c r="J26" s="4">
        <f t="shared" si="2"/>
        <v>2.6390858319568324</v>
      </c>
      <c r="L26" s="4">
        <f t="shared" si="3"/>
        <v>0.52468757551721579</v>
      </c>
      <c r="M26" s="4"/>
      <c r="N26" s="4">
        <f t="shared" si="4"/>
        <v>0.27529705190213399</v>
      </c>
      <c r="P26" s="3">
        <f t="shared" si="5"/>
        <v>1</v>
      </c>
      <c r="Q26" s="3">
        <f t="shared" si="6"/>
        <v>0</v>
      </c>
    </row>
    <row r="27" spans="2:17" x14ac:dyDescent="0.2">
      <c r="B27" s="5">
        <v>20</v>
      </c>
      <c r="C27" s="5">
        <v>0</v>
      </c>
      <c r="D27" s="5">
        <v>22</v>
      </c>
      <c r="E27" s="5">
        <v>1</v>
      </c>
      <c r="G27" s="4">
        <f t="shared" si="0"/>
        <v>2.2727272727272728E-2</v>
      </c>
      <c r="H27" s="4">
        <f t="shared" si="1"/>
        <v>-0.18099342720014769</v>
      </c>
      <c r="J27" s="4">
        <f t="shared" si="2"/>
        <v>9.4253065427029742E-2</v>
      </c>
      <c r="L27" s="4">
        <f t="shared" si="3"/>
        <v>0.35639995765714394</v>
      </c>
      <c r="M27" s="4"/>
      <c r="N27" s="4">
        <f t="shared" si="4"/>
        <v>0.12702092981801399</v>
      </c>
      <c r="P27" s="3">
        <f t="shared" si="5"/>
        <v>0</v>
      </c>
      <c r="Q27" s="3">
        <f t="shared" si="6"/>
        <v>1</v>
      </c>
    </row>
    <row r="28" spans="2:17" x14ac:dyDescent="0.2">
      <c r="N28" s="4"/>
    </row>
    <row r="29" spans="2:17" x14ac:dyDescent="0.2">
      <c r="N29" s="4"/>
    </row>
    <row r="30" spans="2:17" x14ac:dyDescent="0.2">
      <c r="N30" s="4"/>
    </row>
    <row r="31" spans="2:17" x14ac:dyDescent="0.2">
      <c r="N31" s="4"/>
    </row>
    <row r="32" spans="2:17" x14ac:dyDescent="0.2">
      <c r="N32" s="4"/>
    </row>
    <row r="33" spans="14:14" x14ac:dyDescent="0.2">
      <c r="N33" s="4"/>
    </row>
    <row r="34" spans="14:14" x14ac:dyDescent="0.2">
      <c r="N34" s="4"/>
    </row>
    <row r="35" spans="14:14" x14ac:dyDescent="0.2">
      <c r="N35" s="4"/>
    </row>
    <row r="36" spans="14:14" x14ac:dyDescent="0.2">
      <c r="N36" s="4"/>
    </row>
    <row r="37" spans="14:14" x14ac:dyDescent="0.2">
      <c r="N37" s="4"/>
    </row>
    <row r="38" spans="14:14" x14ac:dyDescent="0.2">
      <c r="N38" s="4"/>
    </row>
    <row r="39" spans="14:14" x14ac:dyDescent="0.2">
      <c r="N39" s="4"/>
    </row>
  </sheetData>
  <mergeCells count="4">
    <mergeCell ref="G6:H6"/>
    <mergeCell ref="P6:Q6"/>
    <mergeCell ref="B6:B7"/>
    <mergeCell ref="P5:Q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5F31-27C0-B140-A083-F32C4EC11FAF}">
  <dimension ref="B2:R39"/>
  <sheetViews>
    <sheetView showGridLines="0" topLeftCell="H1" zoomScale="180" workbookViewId="0">
      <selection activeCell="T3" sqref="T3"/>
    </sheetView>
  </sheetViews>
  <sheetFormatPr baseColWidth="10" defaultRowHeight="16" x14ac:dyDescent="0.2"/>
  <cols>
    <col min="1" max="1" width="4" style="1" customWidth="1"/>
    <col min="2" max="9" width="10.83203125" style="1"/>
    <col min="10" max="10" width="13.6640625" style="1" bestFit="1" customWidth="1"/>
    <col min="11" max="11" width="13.6640625" style="1" customWidth="1"/>
    <col min="12" max="14" width="10.83203125" style="1"/>
    <col min="15" max="15" width="14" style="1" bestFit="1" customWidth="1"/>
    <col min="16" max="16" width="10.83203125" style="1"/>
    <col min="17" max="17" width="14.1640625" style="1" bestFit="1" customWidth="1"/>
    <col min="18" max="18" width="14.1640625" style="1" customWidth="1"/>
    <col min="19" max="16384" width="10.83203125" style="1"/>
  </cols>
  <sheetData>
    <row r="2" spans="2:18" x14ac:dyDescent="0.2">
      <c r="I2" s="2" t="s">
        <v>3</v>
      </c>
      <c r="J2" s="9">
        <v>3.3407245977473334E-2</v>
      </c>
      <c r="K2" s="9">
        <v>3.3407245984965202E-2</v>
      </c>
      <c r="M2" s="9">
        <v>0.22392944864075137</v>
      </c>
    </row>
    <row r="3" spans="2:18" x14ac:dyDescent="0.2">
      <c r="I3" s="2" t="s">
        <v>4</v>
      </c>
      <c r="J3" s="9">
        <v>0.79479300391632812</v>
      </c>
      <c r="K3" s="9">
        <v>0.79479300391632812</v>
      </c>
      <c r="M3" s="9">
        <v>0.34735718109312047</v>
      </c>
    </row>
    <row r="4" spans="2:18" x14ac:dyDescent="0.2">
      <c r="I4" s="2" t="s">
        <v>5</v>
      </c>
      <c r="J4" s="9">
        <v>0</v>
      </c>
      <c r="K4" s="9">
        <v>0</v>
      </c>
      <c r="M4" s="9">
        <v>0.34735718109870767</v>
      </c>
    </row>
    <row r="5" spans="2:18" x14ac:dyDescent="0.2">
      <c r="Q5" s="16">
        <f>+AVERAGE(R8:R27)</f>
        <v>0.65</v>
      </c>
      <c r="R5" s="16"/>
    </row>
    <row r="6" spans="2:18" x14ac:dyDescent="0.2">
      <c r="B6" s="14" t="s">
        <v>14</v>
      </c>
      <c r="C6" s="5" t="s">
        <v>6</v>
      </c>
      <c r="D6" s="5" t="s">
        <v>7</v>
      </c>
      <c r="E6" s="5" t="s">
        <v>8</v>
      </c>
      <c r="G6" s="12" t="s">
        <v>9</v>
      </c>
      <c r="H6" s="12"/>
      <c r="J6" s="13" t="s">
        <v>12</v>
      </c>
      <c r="K6" s="13"/>
      <c r="M6" s="5" t="s">
        <v>15</v>
      </c>
      <c r="O6" s="7">
        <f>+SUM(O8:O27)</f>
        <v>4.3788264821147802</v>
      </c>
      <c r="Q6" s="13" t="s">
        <v>18</v>
      </c>
      <c r="R6" s="13"/>
    </row>
    <row r="7" spans="2:18" x14ac:dyDescent="0.2">
      <c r="B7" s="15"/>
      <c r="C7" s="5" t="s">
        <v>0</v>
      </c>
      <c r="D7" s="5" t="s">
        <v>1</v>
      </c>
      <c r="E7" s="5" t="s">
        <v>2</v>
      </c>
      <c r="G7" s="6" t="s">
        <v>10</v>
      </c>
      <c r="H7" s="6" t="s">
        <v>11</v>
      </c>
      <c r="J7" s="5" t="s">
        <v>13</v>
      </c>
      <c r="K7" s="5" t="s">
        <v>21</v>
      </c>
      <c r="M7" s="5" t="s">
        <v>16</v>
      </c>
      <c r="O7" s="8" t="s">
        <v>17</v>
      </c>
      <c r="Q7" s="5" t="s">
        <v>19</v>
      </c>
      <c r="R7" s="5" t="s">
        <v>20</v>
      </c>
    </row>
    <row r="8" spans="2:18" x14ac:dyDescent="0.2">
      <c r="B8" s="5">
        <v>1</v>
      </c>
      <c r="C8" s="5">
        <v>1</v>
      </c>
      <c r="D8" s="5">
        <v>42</v>
      </c>
      <c r="E8" s="5">
        <v>0</v>
      </c>
      <c r="G8" s="4">
        <f>+(D8-MIN($D$8:$D$27))/(MAX($D$8:$D$27)-MIN($D$8:$D$27))</f>
        <v>0.47727272727272729</v>
      </c>
      <c r="H8" s="4">
        <f>+(E8-AVERAGE($E$8:$E$27))/STDEV($E$8:$E$27)</f>
        <v>-1.0859605632008862</v>
      </c>
      <c r="J8" s="4">
        <f>+$J$2+($J$3*G8)+($J$4*H8)</f>
        <v>0.41274027057390272</v>
      </c>
      <c r="K8" s="4">
        <f>+$K$2+($K$3*G8)+($K$4*H8)</f>
        <v>0.41274027058139456</v>
      </c>
      <c r="M8" s="4">
        <f>+$M$2+($M$3*J8)+($M$4*K8)</f>
        <v>0.51066604246598513</v>
      </c>
      <c r="N8" s="4"/>
      <c r="O8" s="4">
        <f>+(M8-C8)^2</f>
        <v>0.23944772199590106</v>
      </c>
      <c r="Q8" s="3">
        <f>+IF(M8&gt;0.5,1,0)</f>
        <v>1</v>
      </c>
      <c r="R8" s="3">
        <f>+IF(Q8=C8,1,0)</f>
        <v>1</v>
      </c>
    </row>
    <row r="9" spans="2:18" x14ac:dyDescent="0.2">
      <c r="B9" s="5">
        <v>2</v>
      </c>
      <c r="C9" s="5">
        <v>0</v>
      </c>
      <c r="D9" s="5">
        <v>60</v>
      </c>
      <c r="E9" s="5">
        <v>0</v>
      </c>
      <c r="G9" s="4">
        <f t="shared" ref="G9:G27" si="0">+(D9-MIN($D$8:$D$27))/(MAX($D$8:$D$27)-MIN($D$8:$D$27))</f>
        <v>0.88636363636363635</v>
      </c>
      <c r="H9" s="4">
        <f t="shared" ref="H9:H27" si="1">+(E9-AVERAGE($E$8:$E$27))/STDEV($E$8:$E$27)</f>
        <v>-1.0859605632008862</v>
      </c>
      <c r="J9" s="4">
        <f t="shared" ref="J9:J27" si="2">+$J$2+($J$3*G9)+($J$4*H9)</f>
        <v>0.73788286308512785</v>
      </c>
      <c r="K9" s="4">
        <f t="shared" ref="K9:K27" si="3">+$K$2+($K$3*G9)+($K$4*H9)</f>
        <v>0.73788286309261975</v>
      </c>
      <c r="M9" s="4">
        <f t="shared" ref="M9:M27" si="4">+$M$2+($M$3*J9)+($M$4*K9)</f>
        <v>0.73654727124381836</v>
      </c>
      <c r="N9" s="4"/>
      <c r="O9" s="4">
        <f t="shared" ref="O9:O27" si="5">+(M9-C9)^2</f>
        <v>0.54250188277671496</v>
      </c>
      <c r="Q9" s="3">
        <f t="shared" ref="Q9:Q27" si="6">+IF(M9&gt;0.5,1,0)</f>
        <v>1</v>
      </c>
      <c r="R9" s="3">
        <f t="shared" ref="R9:R27" si="7">+IF(Q9=C9,1,0)</f>
        <v>0</v>
      </c>
    </row>
    <row r="10" spans="2:18" x14ac:dyDescent="0.2">
      <c r="B10" s="5">
        <v>3</v>
      </c>
      <c r="C10" s="5">
        <v>1</v>
      </c>
      <c r="D10" s="5">
        <v>27</v>
      </c>
      <c r="E10" s="5">
        <v>1</v>
      </c>
      <c r="G10" s="4">
        <f t="shared" si="0"/>
        <v>0.13636363636363635</v>
      </c>
      <c r="H10" s="4">
        <f t="shared" si="1"/>
        <v>-0.18099342720014769</v>
      </c>
      <c r="J10" s="4">
        <f t="shared" si="2"/>
        <v>0.1417881101478817</v>
      </c>
      <c r="K10" s="4">
        <f t="shared" si="3"/>
        <v>0.14178811015537357</v>
      </c>
      <c r="M10" s="4">
        <f t="shared" si="4"/>
        <v>0.32243168515112403</v>
      </c>
      <c r="N10" s="4"/>
      <c r="O10" s="4">
        <f t="shared" si="5"/>
        <v>0.45909882128714558</v>
      </c>
      <c r="Q10" s="3">
        <f t="shared" si="6"/>
        <v>0</v>
      </c>
      <c r="R10" s="3">
        <f t="shared" si="7"/>
        <v>0</v>
      </c>
    </row>
    <row r="11" spans="2:18" x14ac:dyDescent="0.2">
      <c r="B11" s="5">
        <v>4</v>
      </c>
      <c r="C11" s="5">
        <v>0</v>
      </c>
      <c r="D11" s="5">
        <v>31</v>
      </c>
      <c r="E11" s="5">
        <v>0</v>
      </c>
      <c r="G11" s="4">
        <f t="shared" si="0"/>
        <v>0.22727272727272727</v>
      </c>
      <c r="H11" s="4">
        <f t="shared" si="1"/>
        <v>-1.0859605632008862</v>
      </c>
      <c r="J11" s="4">
        <f t="shared" si="2"/>
        <v>0.21404201959482061</v>
      </c>
      <c r="K11" s="4">
        <f t="shared" si="3"/>
        <v>0.21404201960231248</v>
      </c>
      <c r="M11" s="4">
        <f t="shared" si="4"/>
        <v>0.37262751376842035</v>
      </c>
      <c r="N11" s="4"/>
      <c r="O11" s="4">
        <f t="shared" si="5"/>
        <v>0.1388512640172343</v>
      </c>
      <c r="Q11" s="3">
        <f t="shared" si="6"/>
        <v>0</v>
      </c>
      <c r="R11" s="3">
        <f t="shared" si="7"/>
        <v>1</v>
      </c>
    </row>
    <row r="12" spans="2:18" x14ac:dyDescent="0.2">
      <c r="B12" s="5">
        <v>5</v>
      </c>
      <c r="C12" s="5">
        <v>1</v>
      </c>
      <c r="D12" s="5">
        <v>65</v>
      </c>
      <c r="E12" s="5">
        <v>1</v>
      </c>
      <c r="G12" s="4">
        <f t="shared" si="0"/>
        <v>1</v>
      </c>
      <c r="H12" s="4">
        <f t="shared" si="1"/>
        <v>-0.18099342720014769</v>
      </c>
      <c r="J12" s="4">
        <f t="shared" si="2"/>
        <v>0.82820024989380148</v>
      </c>
      <c r="K12" s="4">
        <f t="shared" si="3"/>
        <v>0.82820024990129337</v>
      </c>
      <c r="M12" s="4">
        <f t="shared" si="4"/>
        <v>0.79929205701543871</v>
      </c>
      <c r="N12" s="4"/>
      <c r="O12" s="4">
        <f t="shared" si="5"/>
        <v>4.0283678377093908E-2</v>
      </c>
      <c r="Q12" s="3">
        <f t="shared" si="6"/>
        <v>1</v>
      </c>
      <c r="R12" s="3">
        <f t="shared" si="7"/>
        <v>1</v>
      </c>
    </row>
    <row r="13" spans="2:18" x14ac:dyDescent="0.2">
      <c r="B13" s="5">
        <v>6</v>
      </c>
      <c r="C13" s="5">
        <v>0</v>
      </c>
      <c r="D13" s="5">
        <v>39</v>
      </c>
      <c r="E13" s="5">
        <v>0</v>
      </c>
      <c r="G13" s="4">
        <f t="shared" si="0"/>
        <v>0.40909090909090912</v>
      </c>
      <c r="H13" s="4">
        <f t="shared" si="1"/>
        <v>-1.0859605632008862</v>
      </c>
      <c r="J13" s="4">
        <f t="shared" si="2"/>
        <v>0.35854983848869854</v>
      </c>
      <c r="K13" s="4">
        <f t="shared" si="3"/>
        <v>0.35854983849619038</v>
      </c>
      <c r="M13" s="4">
        <f t="shared" si="4"/>
        <v>0.47301917100301294</v>
      </c>
      <c r="N13" s="4"/>
      <c r="O13" s="4">
        <f t="shared" si="5"/>
        <v>0.22374713613637759</v>
      </c>
      <c r="Q13" s="3">
        <f t="shared" si="6"/>
        <v>0</v>
      </c>
      <c r="R13" s="3">
        <f t="shared" si="7"/>
        <v>1</v>
      </c>
    </row>
    <row r="14" spans="2:18" x14ac:dyDescent="0.2">
      <c r="B14" s="5">
        <v>7</v>
      </c>
      <c r="C14" s="5">
        <v>1</v>
      </c>
      <c r="D14" s="5">
        <v>37</v>
      </c>
      <c r="E14" s="5">
        <v>2</v>
      </c>
      <c r="G14" s="4">
        <f t="shared" si="0"/>
        <v>0.36363636363636365</v>
      </c>
      <c r="H14" s="4">
        <f t="shared" si="1"/>
        <v>0.72397370880059086</v>
      </c>
      <c r="J14" s="4">
        <f t="shared" si="2"/>
        <v>0.32242288376522904</v>
      </c>
      <c r="K14" s="4">
        <f t="shared" si="3"/>
        <v>0.32242288377272088</v>
      </c>
      <c r="M14" s="4">
        <f t="shared" si="4"/>
        <v>0.44792125669436478</v>
      </c>
      <c r="N14" s="4"/>
      <c r="O14" s="4">
        <f t="shared" si="5"/>
        <v>0.30479093880992947</v>
      </c>
      <c r="Q14" s="3">
        <f t="shared" si="6"/>
        <v>0</v>
      </c>
      <c r="R14" s="3">
        <f t="shared" si="7"/>
        <v>0</v>
      </c>
    </row>
    <row r="15" spans="2:18" x14ac:dyDescent="0.2">
      <c r="B15" s="5">
        <v>8</v>
      </c>
      <c r="C15" s="5">
        <v>0</v>
      </c>
      <c r="D15" s="5">
        <v>21</v>
      </c>
      <c r="E15" s="5">
        <v>2</v>
      </c>
      <c r="G15" s="4">
        <f t="shared" si="0"/>
        <v>0</v>
      </c>
      <c r="H15" s="4">
        <f t="shared" si="1"/>
        <v>0.72397370880059086</v>
      </c>
      <c r="J15" s="4">
        <f t="shared" si="2"/>
        <v>3.3407245977473334E-2</v>
      </c>
      <c r="K15" s="4">
        <f t="shared" si="3"/>
        <v>3.3407245984965202E-2</v>
      </c>
      <c r="M15" s="4">
        <f t="shared" si="4"/>
        <v>0.24713794222517962</v>
      </c>
      <c r="N15" s="4"/>
      <c r="O15" s="4">
        <f t="shared" si="5"/>
        <v>6.1077162487296222E-2</v>
      </c>
      <c r="Q15" s="3">
        <f t="shared" si="6"/>
        <v>0</v>
      </c>
      <c r="R15" s="3">
        <f t="shared" si="7"/>
        <v>1</v>
      </c>
    </row>
    <row r="16" spans="2:18" x14ac:dyDescent="0.2">
      <c r="B16" s="5">
        <v>9</v>
      </c>
      <c r="C16" s="5">
        <v>1</v>
      </c>
      <c r="D16" s="5">
        <v>62</v>
      </c>
      <c r="E16" s="5">
        <v>0</v>
      </c>
      <c r="G16" s="4">
        <f t="shared" si="0"/>
        <v>0.93181818181818177</v>
      </c>
      <c r="H16" s="4">
        <f t="shared" si="1"/>
        <v>-1.0859605632008862</v>
      </c>
      <c r="J16" s="4">
        <f t="shared" si="2"/>
        <v>0.77400981780859723</v>
      </c>
      <c r="K16" s="4">
        <f t="shared" si="3"/>
        <v>0.77400981781608913</v>
      </c>
      <c r="M16" s="4">
        <f t="shared" si="4"/>
        <v>0.76164518555246641</v>
      </c>
      <c r="N16" s="4"/>
      <c r="O16" s="4">
        <f t="shared" si="5"/>
        <v>5.6813017570318168E-2</v>
      </c>
      <c r="Q16" s="3">
        <f t="shared" si="6"/>
        <v>1</v>
      </c>
      <c r="R16" s="3">
        <f t="shared" si="7"/>
        <v>1</v>
      </c>
    </row>
    <row r="17" spans="2:18" x14ac:dyDescent="0.2">
      <c r="B17" s="5">
        <v>10</v>
      </c>
      <c r="C17" s="5">
        <v>0</v>
      </c>
      <c r="D17" s="5">
        <v>32</v>
      </c>
      <c r="E17" s="5">
        <v>2</v>
      </c>
      <c r="G17" s="4">
        <f t="shared" si="0"/>
        <v>0.25</v>
      </c>
      <c r="H17" s="4">
        <f t="shared" si="1"/>
        <v>0.72397370880059086</v>
      </c>
      <c r="J17" s="4">
        <f t="shared" si="2"/>
        <v>0.23210549695655536</v>
      </c>
      <c r="K17" s="4">
        <f t="shared" si="3"/>
        <v>0.23210549696404723</v>
      </c>
      <c r="M17" s="4">
        <f t="shared" si="4"/>
        <v>0.38517647092274437</v>
      </c>
      <c r="N17" s="4"/>
      <c r="O17" s="4">
        <f t="shared" si="5"/>
        <v>0.14836091375249974</v>
      </c>
      <c r="Q17" s="3">
        <f t="shared" si="6"/>
        <v>0</v>
      </c>
      <c r="R17" s="3">
        <f t="shared" si="7"/>
        <v>1</v>
      </c>
    </row>
    <row r="18" spans="2:18" x14ac:dyDescent="0.2">
      <c r="B18" s="5">
        <v>11</v>
      </c>
      <c r="C18" s="5">
        <v>0</v>
      </c>
      <c r="D18" s="5">
        <v>26</v>
      </c>
      <c r="E18" s="5">
        <v>1</v>
      </c>
      <c r="G18" s="4">
        <f t="shared" si="0"/>
        <v>0.11363636363636363</v>
      </c>
      <c r="H18" s="4">
        <f t="shared" si="1"/>
        <v>-0.18099342720014769</v>
      </c>
      <c r="J18" s="4">
        <f t="shared" si="2"/>
        <v>0.12372463278614698</v>
      </c>
      <c r="K18" s="4">
        <f t="shared" si="3"/>
        <v>0.12372463279363885</v>
      </c>
      <c r="M18" s="4">
        <f t="shared" si="4"/>
        <v>0.3098827279968</v>
      </c>
      <c r="N18" s="4"/>
      <c r="O18" s="4">
        <f t="shared" si="5"/>
        <v>9.6027305110738731E-2</v>
      </c>
      <c r="Q18" s="3">
        <f t="shared" si="6"/>
        <v>0</v>
      </c>
      <c r="R18" s="3">
        <f t="shared" si="7"/>
        <v>1</v>
      </c>
    </row>
    <row r="19" spans="2:18" x14ac:dyDescent="0.2">
      <c r="B19" s="5">
        <v>12</v>
      </c>
      <c r="C19" s="5">
        <v>1</v>
      </c>
      <c r="D19" s="5">
        <v>33</v>
      </c>
      <c r="E19" s="5">
        <v>0</v>
      </c>
      <c r="G19" s="4">
        <f t="shared" si="0"/>
        <v>0.27272727272727271</v>
      </c>
      <c r="H19" s="4">
        <f t="shared" si="1"/>
        <v>-1.0859605632008862</v>
      </c>
      <c r="J19" s="4">
        <f t="shared" si="2"/>
        <v>0.2501689743182901</v>
      </c>
      <c r="K19" s="4">
        <f t="shared" si="3"/>
        <v>0.25016897432578195</v>
      </c>
      <c r="M19" s="4">
        <f t="shared" si="4"/>
        <v>0.39772542807706845</v>
      </c>
      <c r="N19" s="4"/>
      <c r="O19" s="4">
        <f t="shared" si="5"/>
        <v>0.36273465998495047</v>
      </c>
      <c r="Q19" s="3">
        <f t="shared" si="6"/>
        <v>0</v>
      </c>
      <c r="R19" s="3">
        <f t="shared" si="7"/>
        <v>0</v>
      </c>
    </row>
    <row r="20" spans="2:18" x14ac:dyDescent="0.2">
      <c r="B20" s="5">
        <v>13</v>
      </c>
      <c r="C20" s="5">
        <v>1</v>
      </c>
      <c r="D20" s="5">
        <v>61</v>
      </c>
      <c r="E20" s="5">
        <v>1</v>
      </c>
      <c r="G20" s="4">
        <f t="shared" si="0"/>
        <v>0.90909090909090906</v>
      </c>
      <c r="H20" s="4">
        <f t="shared" si="1"/>
        <v>-0.18099342720014769</v>
      </c>
      <c r="J20" s="4">
        <f t="shared" si="2"/>
        <v>0.75594634044686249</v>
      </c>
      <c r="K20" s="4">
        <f t="shared" si="3"/>
        <v>0.75594634045435438</v>
      </c>
      <c r="M20" s="4">
        <f t="shared" si="4"/>
        <v>0.74909622839814238</v>
      </c>
      <c r="N20" s="4"/>
      <c r="O20" s="4">
        <f t="shared" si="5"/>
        <v>6.2952702604037139E-2</v>
      </c>
      <c r="Q20" s="3">
        <f t="shared" si="6"/>
        <v>1</v>
      </c>
      <c r="R20" s="3">
        <f t="shared" si="7"/>
        <v>1</v>
      </c>
    </row>
    <row r="21" spans="2:18" x14ac:dyDescent="0.2">
      <c r="B21" s="5">
        <v>14</v>
      </c>
      <c r="C21" s="5">
        <v>0</v>
      </c>
      <c r="D21" s="5">
        <v>30</v>
      </c>
      <c r="E21" s="5">
        <v>2</v>
      </c>
      <c r="G21" s="4">
        <f t="shared" si="0"/>
        <v>0.20454545454545456</v>
      </c>
      <c r="H21" s="4">
        <f t="shared" si="1"/>
        <v>0.72397370880059086</v>
      </c>
      <c r="J21" s="4">
        <f t="shared" si="2"/>
        <v>0.19597854223308592</v>
      </c>
      <c r="K21" s="4">
        <f t="shared" si="3"/>
        <v>0.19597854224057779</v>
      </c>
      <c r="M21" s="4">
        <f t="shared" si="4"/>
        <v>0.36007855661409627</v>
      </c>
      <c r="N21" s="4"/>
      <c r="O21" s="4">
        <f t="shared" si="5"/>
        <v>0.12965656693329092</v>
      </c>
      <c r="Q21" s="3">
        <f t="shared" si="6"/>
        <v>0</v>
      </c>
      <c r="R21" s="3">
        <f t="shared" si="7"/>
        <v>1</v>
      </c>
    </row>
    <row r="22" spans="2:18" x14ac:dyDescent="0.2">
      <c r="B22" s="5">
        <v>15</v>
      </c>
      <c r="C22" s="5">
        <v>0</v>
      </c>
      <c r="D22" s="5">
        <v>52</v>
      </c>
      <c r="E22" s="5">
        <v>3</v>
      </c>
      <c r="G22" s="4">
        <f t="shared" si="0"/>
        <v>0.70454545454545459</v>
      </c>
      <c r="H22" s="4">
        <f t="shared" si="1"/>
        <v>1.6289408448013294</v>
      </c>
      <c r="J22" s="4">
        <f t="shared" si="2"/>
        <v>0.59337504419124998</v>
      </c>
      <c r="K22" s="4">
        <f t="shared" si="3"/>
        <v>0.59337504419874187</v>
      </c>
      <c r="M22" s="4">
        <f t="shared" si="4"/>
        <v>0.63615561400922582</v>
      </c>
      <c r="N22" s="4"/>
      <c r="O22" s="4">
        <f t="shared" si="5"/>
        <v>0.40469396523545509</v>
      </c>
      <c r="Q22" s="3">
        <f t="shared" si="6"/>
        <v>1</v>
      </c>
      <c r="R22" s="3">
        <f t="shared" si="7"/>
        <v>0</v>
      </c>
    </row>
    <row r="23" spans="2:18" x14ac:dyDescent="0.2">
      <c r="B23" s="5">
        <v>16</v>
      </c>
      <c r="C23" s="5">
        <v>1</v>
      </c>
      <c r="D23" s="5">
        <v>30</v>
      </c>
      <c r="E23" s="5">
        <v>3</v>
      </c>
      <c r="G23" s="4">
        <f t="shared" si="0"/>
        <v>0.20454545454545456</v>
      </c>
      <c r="H23" s="4">
        <f t="shared" si="1"/>
        <v>1.6289408448013294</v>
      </c>
      <c r="J23" s="4">
        <f t="shared" si="2"/>
        <v>0.19597854223308592</v>
      </c>
      <c r="K23" s="4">
        <f t="shared" si="3"/>
        <v>0.19597854224057779</v>
      </c>
      <c r="M23" s="4">
        <f t="shared" si="4"/>
        <v>0.36007855661409627</v>
      </c>
      <c r="N23" s="4"/>
      <c r="O23" s="4">
        <f t="shared" si="5"/>
        <v>0.40949945370509838</v>
      </c>
      <c r="Q23" s="3">
        <f t="shared" si="6"/>
        <v>0</v>
      </c>
      <c r="R23" s="3">
        <f t="shared" si="7"/>
        <v>0</v>
      </c>
    </row>
    <row r="24" spans="2:18" x14ac:dyDescent="0.2">
      <c r="B24" s="5">
        <v>17</v>
      </c>
      <c r="C24" s="5">
        <v>1</v>
      </c>
      <c r="D24" s="5">
        <v>47</v>
      </c>
      <c r="E24" s="5">
        <v>2</v>
      </c>
      <c r="G24" s="4">
        <f t="shared" si="0"/>
        <v>0.59090909090909094</v>
      </c>
      <c r="H24" s="4">
        <f t="shared" si="1"/>
        <v>0.72397370880059086</v>
      </c>
      <c r="J24" s="4">
        <f t="shared" si="2"/>
        <v>0.50305765738257635</v>
      </c>
      <c r="K24" s="4">
        <f t="shared" si="3"/>
        <v>0.50305765739006825</v>
      </c>
      <c r="M24" s="4">
        <f t="shared" si="4"/>
        <v>0.57341082823760547</v>
      </c>
      <c r="N24" s="4"/>
      <c r="O24" s="4">
        <f t="shared" si="5"/>
        <v>0.18197832146492574</v>
      </c>
      <c r="Q24" s="3">
        <f t="shared" si="6"/>
        <v>1</v>
      </c>
      <c r="R24" s="3">
        <f t="shared" si="7"/>
        <v>1</v>
      </c>
    </row>
    <row r="25" spans="2:18" x14ac:dyDescent="0.2">
      <c r="B25" s="5">
        <v>18</v>
      </c>
      <c r="C25" s="5">
        <v>1</v>
      </c>
      <c r="D25" s="5">
        <v>57</v>
      </c>
      <c r="E25" s="5">
        <v>0</v>
      </c>
      <c r="G25" s="4">
        <f t="shared" si="0"/>
        <v>0.81818181818181823</v>
      </c>
      <c r="H25" s="4">
        <f t="shared" si="1"/>
        <v>-1.0859605632008862</v>
      </c>
      <c r="J25" s="4">
        <f t="shared" si="2"/>
        <v>0.68369243099992372</v>
      </c>
      <c r="K25" s="4">
        <f t="shared" si="3"/>
        <v>0.68369243100741561</v>
      </c>
      <c r="M25" s="4">
        <f t="shared" si="4"/>
        <v>0.69890039978084628</v>
      </c>
      <c r="N25" s="4"/>
      <c r="O25" s="4">
        <f t="shared" si="5"/>
        <v>9.0660969252134196E-2</v>
      </c>
      <c r="Q25" s="3">
        <f t="shared" si="6"/>
        <v>1</v>
      </c>
      <c r="R25" s="3">
        <f t="shared" si="7"/>
        <v>1</v>
      </c>
    </row>
    <row r="26" spans="2:18" x14ac:dyDescent="0.2">
      <c r="B26" s="5">
        <v>19</v>
      </c>
      <c r="C26" s="5">
        <v>0</v>
      </c>
      <c r="D26" s="5">
        <v>49</v>
      </c>
      <c r="E26" s="5">
        <v>3</v>
      </c>
      <c r="G26" s="4">
        <f t="shared" si="0"/>
        <v>0.63636363636363635</v>
      </c>
      <c r="H26" s="4">
        <f t="shared" si="1"/>
        <v>1.6289408448013294</v>
      </c>
      <c r="J26" s="4">
        <f t="shared" si="2"/>
        <v>0.53918461210604574</v>
      </c>
      <c r="K26" s="4">
        <f t="shared" si="3"/>
        <v>0.53918461211353763</v>
      </c>
      <c r="M26" s="4">
        <f t="shared" si="4"/>
        <v>0.59850874254625364</v>
      </c>
      <c r="N26" s="4"/>
      <c r="O26" s="4">
        <f t="shared" si="5"/>
        <v>0.35821271490429774</v>
      </c>
      <c r="Q26" s="3">
        <f t="shared" si="6"/>
        <v>1</v>
      </c>
      <c r="R26" s="3">
        <f t="shared" si="7"/>
        <v>0</v>
      </c>
    </row>
    <row r="27" spans="2:18" x14ac:dyDescent="0.2">
      <c r="B27" s="5">
        <v>20</v>
      </c>
      <c r="C27" s="5">
        <v>0</v>
      </c>
      <c r="D27" s="5">
        <v>22</v>
      </c>
      <c r="E27" s="5">
        <v>1</v>
      </c>
      <c r="G27" s="4">
        <f t="shared" si="0"/>
        <v>2.2727272727272728E-2</v>
      </c>
      <c r="H27" s="4">
        <f t="shared" si="1"/>
        <v>-0.18099342720014769</v>
      </c>
      <c r="J27" s="4">
        <f t="shared" si="2"/>
        <v>5.147072333920806E-2</v>
      </c>
      <c r="K27" s="4">
        <f t="shared" si="3"/>
        <v>5.1470723346699929E-2</v>
      </c>
      <c r="M27" s="4">
        <f t="shared" si="4"/>
        <v>0.25968689937950368</v>
      </c>
      <c r="N27" s="4"/>
      <c r="O27" s="4">
        <f t="shared" si="5"/>
        <v>6.7437285709340461E-2</v>
      </c>
      <c r="Q27" s="3">
        <f t="shared" si="6"/>
        <v>0</v>
      </c>
      <c r="R27" s="3">
        <f t="shared" si="7"/>
        <v>1</v>
      </c>
    </row>
    <row r="28" spans="2:18" x14ac:dyDescent="0.2">
      <c r="O28" s="4"/>
    </row>
    <row r="29" spans="2:18" x14ac:dyDescent="0.2">
      <c r="O29" s="4"/>
    </row>
    <row r="30" spans="2:18" x14ac:dyDescent="0.2">
      <c r="O30" s="4"/>
    </row>
    <row r="31" spans="2:18" x14ac:dyDescent="0.2">
      <c r="O31" s="4"/>
    </row>
    <row r="32" spans="2:18" x14ac:dyDescent="0.2">
      <c r="O32" s="4"/>
    </row>
    <row r="33" spans="15:15" x14ac:dyDescent="0.2">
      <c r="O33" s="4"/>
    </row>
    <row r="34" spans="15:15" x14ac:dyDescent="0.2">
      <c r="O34" s="4"/>
    </row>
    <row r="35" spans="15:15" x14ac:dyDescent="0.2">
      <c r="O35" s="4"/>
    </row>
    <row r="36" spans="15:15" x14ac:dyDescent="0.2">
      <c r="O36" s="4"/>
    </row>
    <row r="37" spans="15:15" x14ac:dyDescent="0.2">
      <c r="O37" s="4"/>
    </row>
    <row r="38" spans="15:15" x14ac:dyDescent="0.2">
      <c r="O38" s="4"/>
    </row>
    <row r="39" spans="15:15" x14ac:dyDescent="0.2">
      <c r="O39" s="4"/>
    </row>
  </sheetData>
  <mergeCells count="5">
    <mergeCell ref="Q5:R5"/>
    <mergeCell ref="B6:B7"/>
    <mergeCell ref="G6:H6"/>
    <mergeCell ref="Q6:R6"/>
    <mergeCell ref="J6:K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76ED-344E-3142-9D8D-8EC3A4AC4972}">
  <dimension ref="B2:R39"/>
  <sheetViews>
    <sheetView showGridLines="0" topLeftCell="D1" zoomScale="180" workbookViewId="0">
      <selection activeCell="M8" sqref="M8"/>
    </sheetView>
  </sheetViews>
  <sheetFormatPr baseColWidth="10" defaultRowHeight="16" x14ac:dyDescent="0.2"/>
  <cols>
    <col min="1" max="1" width="4" style="1" customWidth="1"/>
    <col min="2" max="9" width="10.83203125" style="1"/>
    <col min="10" max="10" width="13.6640625" style="1" bestFit="1" customWidth="1"/>
    <col min="11" max="11" width="13.6640625" style="1" customWidth="1"/>
    <col min="12" max="14" width="10.83203125" style="1"/>
    <col min="15" max="15" width="14" style="1" bestFit="1" customWidth="1"/>
    <col min="16" max="16" width="10.83203125" style="1"/>
    <col min="17" max="17" width="14.1640625" style="1" bestFit="1" customWidth="1"/>
    <col min="18" max="18" width="14.1640625" style="1" customWidth="1"/>
    <col min="19" max="16384" width="10.83203125" style="1"/>
  </cols>
  <sheetData>
    <row r="2" spans="2:18" x14ac:dyDescent="0.2">
      <c r="I2" s="2" t="s">
        <v>3</v>
      </c>
      <c r="J2" s="9">
        <v>0</v>
      </c>
      <c r="K2" s="9">
        <v>0</v>
      </c>
      <c r="M2" s="9">
        <v>0</v>
      </c>
    </row>
    <row r="3" spans="2:18" x14ac:dyDescent="0.2">
      <c r="I3" s="2" t="s">
        <v>4</v>
      </c>
      <c r="J3" s="9">
        <v>0</v>
      </c>
      <c r="K3" s="9">
        <v>0</v>
      </c>
      <c r="M3" s="9">
        <v>7.8295866789873436E-2</v>
      </c>
    </row>
    <row r="4" spans="2:18" x14ac:dyDescent="0.2">
      <c r="I4" s="2" t="s">
        <v>5</v>
      </c>
      <c r="J4" s="9">
        <v>2.4885809264787899</v>
      </c>
      <c r="K4" s="9">
        <v>2.4885809264787904</v>
      </c>
      <c r="M4" s="9">
        <v>7.8295866616736931E-2</v>
      </c>
    </row>
    <row r="5" spans="2:18" x14ac:dyDescent="0.2">
      <c r="Q5" s="16">
        <f>+AVERAGE(R8:R27)</f>
        <v>0.6</v>
      </c>
      <c r="R5" s="16"/>
    </row>
    <row r="6" spans="2:18" x14ac:dyDescent="0.2">
      <c r="B6" s="14" t="s">
        <v>14</v>
      </c>
      <c r="C6" s="5" t="s">
        <v>6</v>
      </c>
      <c r="D6" s="5" t="s">
        <v>7</v>
      </c>
      <c r="E6" s="5" t="s">
        <v>8</v>
      </c>
      <c r="G6" s="12" t="s">
        <v>9</v>
      </c>
      <c r="H6" s="12"/>
      <c r="J6" s="13" t="s">
        <v>12</v>
      </c>
      <c r="K6" s="13"/>
      <c r="M6" s="5" t="s">
        <v>15</v>
      </c>
      <c r="O6" s="7">
        <f>+SUM(O8:O27)</f>
        <v>4.827413166701942</v>
      </c>
      <c r="Q6" s="13" t="s">
        <v>18</v>
      </c>
      <c r="R6" s="13"/>
    </row>
    <row r="7" spans="2:18" x14ac:dyDescent="0.2">
      <c r="B7" s="15"/>
      <c r="C7" s="5" t="s">
        <v>0</v>
      </c>
      <c r="D7" s="5" t="s">
        <v>1</v>
      </c>
      <c r="E7" s="5" t="s">
        <v>2</v>
      </c>
      <c r="G7" s="6" t="s">
        <v>10</v>
      </c>
      <c r="H7" s="6" t="s">
        <v>11</v>
      </c>
      <c r="J7" s="5" t="s">
        <v>13</v>
      </c>
      <c r="K7" s="5" t="s">
        <v>21</v>
      </c>
      <c r="M7" s="5" t="s">
        <v>16</v>
      </c>
      <c r="O7" s="8" t="s">
        <v>17</v>
      </c>
      <c r="Q7" s="5" t="s">
        <v>19</v>
      </c>
      <c r="R7" s="5" t="s">
        <v>20</v>
      </c>
    </row>
    <row r="8" spans="2:18" x14ac:dyDescent="0.2">
      <c r="B8" s="5">
        <v>1</v>
      </c>
      <c r="C8" s="5">
        <v>1</v>
      </c>
      <c r="D8" s="5">
        <v>42</v>
      </c>
      <c r="E8" s="5">
        <v>0</v>
      </c>
      <c r="G8" s="4">
        <f>+(D8-MIN($D$8:$D$27))/(MAX($D$8:$D$27)-MIN($D$8:$D$27))</f>
        <v>0.47727272727272729</v>
      </c>
      <c r="H8" s="4">
        <f>+(E8-AVERAGE($E$8:$E$27))/STDEV($E$8:$E$27)</f>
        <v>-1.0859605632008862</v>
      </c>
      <c r="J8" s="4">
        <f>+$J$2+($J$3*G8)+($J$4*H8)</f>
        <v>-2.7025007444898899</v>
      </c>
      <c r="K8" s="4">
        <f>+$K$2+($K$3*G8)+($K$4*H8)</f>
        <v>-2.7025007444898903</v>
      </c>
      <c r="M8" s="4">
        <f>1/(1+EXP(+$M$2+($M$3*J8)+($M$4*K8)))</f>
        <v>0.60424616319095914</v>
      </c>
      <c r="N8" s="4"/>
      <c r="O8" s="4">
        <f>+(M8-C8)^2</f>
        <v>0.15662109934907695</v>
      </c>
      <c r="Q8" s="3">
        <f>+IF(M8&gt;0.5,1,0)</f>
        <v>1</v>
      </c>
      <c r="R8" s="3">
        <f>+IF(Q8=C8,1,0)</f>
        <v>1</v>
      </c>
    </row>
    <row r="9" spans="2:18" x14ac:dyDescent="0.2">
      <c r="B9" s="5">
        <v>2</v>
      </c>
      <c r="C9" s="5">
        <v>0</v>
      </c>
      <c r="D9" s="5">
        <v>60</v>
      </c>
      <c r="E9" s="5">
        <v>0</v>
      </c>
      <c r="G9" s="4">
        <f t="shared" ref="G9:G27" si="0">+(D9-MIN($D$8:$D$27))/(MAX($D$8:$D$27)-MIN($D$8:$D$27))</f>
        <v>0.88636363636363635</v>
      </c>
      <c r="H9" s="4">
        <f t="shared" ref="H9:H27" si="1">+(E9-AVERAGE($E$8:$E$27))/STDEV($E$8:$E$27)</f>
        <v>-1.0859605632008862</v>
      </c>
      <c r="J9" s="4">
        <f t="shared" ref="J9:J27" si="2">+$J$2+($J$3*G9)+($J$4*H9)</f>
        <v>-2.7025007444898899</v>
      </c>
      <c r="K9" s="4">
        <f t="shared" ref="K9:K27" si="3">+$K$2+($K$3*G9)+($K$4*H9)</f>
        <v>-2.7025007444898903</v>
      </c>
      <c r="M9" s="4">
        <f t="shared" ref="M9:M27" si="4">1/(1+EXP(+$M$2+($M$3*J9)+($M$4*K9)))</f>
        <v>0.60424616319095914</v>
      </c>
      <c r="N9" s="4"/>
      <c r="O9" s="4">
        <f t="shared" ref="O9:O27" si="5">+(M9-C9)^2</f>
        <v>0.3651134257309952</v>
      </c>
      <c r="Q9" s="3">
        <f t="shared" ref="Q9:Q27" si="6">+IF(M9&gt;0.5,1,0)</f>
        <v>1</v>
      </c>
      <c r="R9" s="3">
        <f t="shared" ref="R9:R27" si="7">+IF(Q9=C9,1,0)</f>
        <v>0</v>
      </c>
    </row>
    <row r="10" spans="2:18" x14ac:dyDescent="0.2">
      <c r="B10" s="5">
        <v>3</v>
      </c>
      <c r="C10" s="5">
        <v>1</v>
      </c>
      <c r="D10" s="5">
        <v>27</v>
      </c>
      <c r="E10" s="5">
        <v>1</v>
      </c>
      <c r="G10" s="4">
        <f t="shared" si="0"/>
        <v>0.13636363636363635</v>
      </c>
      <c r="H10" s="4">
        <f t="shared" si="1"/>
        <v>-0.18099342720014769</v>
      </c>
      <c r="J10" s="4">
        <f t="shared" si="2"/>
        <v>-0.45041679074831498</v>
      </c>
      <c r="K10" s="4">
        <f t="shared" si="3"/>
        <v>-0.45041679074831503</v>
      </c>
      <c r="M10" s="4">
        <f t="shared" si="4"/>
        <v>0.51762558028073724</v>
      </c>
      <c r="N10" s="4"/>
      <c r="O10" s="4">
        <f t="shared" si="5"/>
        <v>0.23268508079949549</v>
      </c>
      <c r="Q10" s="3">
        <f t="shared" si="6"/>
        <v>1</v>
      </c>
      <c r="R10" s="3">
        <f t="shared" si="7"/>
        <v>1</v>
      </c>
    </row>
    <row r="11" spans="2:18" x14ac:dyDescent="0.2">
      <c r="B11" s="5">
        <v>4</v>
      </c>
      <c r="C11" s="5">
        <v>0</v>
      </c>
      <c r="D11" s="5">
        <v>31</v>
      </c>
      <c r="E11" s="5">
        <v>0</v>
      </c>
      <c r="G11" s="4">
        <f t="shared" si="0"/>
        <v>0.22727272727272727</v>
      </c>
      <c r="H11" s="4">
        <f t="shared" si="1"/>
        <v>-1.0859605632008862</v>
      </c>
      <c r="J11" s="4">
        <f t="shared" si="2"/>
        <v>-2.7025007444898899</v>
      </c>
      <c r="K11" s="4">
        <f t="shared" si="3"/>
        <v>-2.7025007444898903</v>
      </c>
      <c r="M11" s="4">
        <f t="shared" si="4"/>
        <v>0.60424616319095914</v>
      </c>
      <c r="N11" s="4"/>
      <c r="O11" s="4">
        <f t="shared" si="5"/>
        <v>0.3651134257309952</v>
      </c>
      <c r="Q11" s="3">
        <f t="shared" si="6"/>
        <v>1</v>
      </c>
      <c r="R11" s="3">
        <f t="shared" si="7"/>
        <v>0</v>
      </c>
    </row>
    <row r="12" spans="2:18" x14ac:dyDescent="0.2">
      <c r="B12" s="5">
        <v>5</v>
      </c>
      <c r="C12" s="5">
        <v>1</v>
      </c>
      <c r="D12" s="5">
        <v>65</v>
      </c>
      <c r="E12" s="5">
        <v>1</v>
      </c>
      <c r="G12" s="4">
        <f t="shared" si="0"/>
        <v>1</v>
      </c>
      <c r="H12" s="4">
        <f t="shared" si="1"/>
        <v>-0.18099342720014769</v>
      </c>
      <c r="J12" s="4">
        <f t="shared" si="2"/>
        <v>-0.45041679074831498</v>
      </c>
      <c r="K12" s="4">
        <f t="shared" si="3"/>
        <v>-0.45041679074831503</v>
      </c>
      <c r="M12" s="4">
        <f t="shared" si="4"/>
        <v>0.51762558028073724</v>
      </c>
      <c r="N12" s="4"/>
      <c r="O12" s="4">
        <f t="shared" si="5"/>
        <v>0.23268508079949549</v>
      </c>
      <c r="Q12" s="3">
        <f t="shared" si="6"/>
        <v>1</v>
      </c>
      <c r="R12" s="3">
        <f t="shared" si="7"/>
        <v>1</v>
      </c>
    </row>
    <row r="13" spans="2:18" x14ac:dyDescent="0.2">
      <c r="B13" s="5">
        <v>6</v>
      </c>
      <c r="C13" s="5">
        <v>0</v>
      </c>
      <c r="D13" s="5">
        <v>39</v>
      </c>
      <c r="E13" s="5">
        <v>0</v>
      </c>
      <c r="G13" s="4">
        <f t="shared" si="0"/>
        <v>0.40909090909090912</v>
      </c>
      <c r="H13" s="4">
        <f t="shared" si="1"/>
        <v>-1.0859605632008862</v>
      </c>
      <c r="J13" s="4">
        <f t="shared" si="2"/>
        <v>-2.7025007444898899</v>
      </c>
      <c r="K13" s="4">
        <f t="shared" si="3"/>
        <v>-2.7025007444898903</v>
      </c>
      <c r="M13" s="4">
        <f t="shared" si="4"/>
        <v>0.60424616319095914</v>
      </c>
      <c r="N13" s="4"/>
      <c r="O13" s="4">
        <f t="shared" si="5"/>
        <v>0.3651134257309952</v>
      </c>
      <c r="Q13" s="3">
        <f t="shared" si="6"/>
        <v>1</v>
      </c>
      <c r="R13" s="3">
        <f t="shared" si="7"/>
        <v>0</v>
      </c>
    </row>
    <row r="14" spans="2:18" x14ac:dyDescent="0.2">
      <c r="B14" s="5">
        <v>7</v>
      </c>
      <c r="C14" s="5">
        <v>1</v>
      </c>
      <c r="D14" s="5">
        <v>37</v>
      </c>
      <c r="E14" s="5">
        <v>2</v>
      </c>
      <c r="G14" s="4">
        <f t="shared" si="0"/>
        <v>0.36363636363636365</v>
      </c>
      <c r="H14" s="4">
        <f t="shared" si="1"/>
        <v>0.72397370880059086</v>
      </c>
      <c r="J14" s="4">
        <f t="shared" si="2"/>
        <v>1.8016671629932601</v>
      </c>
      <c r="K14" s="4">
        <f t="shared" si="3"/>
        <v>1.8016671629932604</v>
      </c>
      <c r="M14" s="4">
        <f t="shared" si="4"/>
        <v>0.42993259097120123</v>
      </c>
      <c r="N14" s="4"/>
      <c r="O14" s="4">
        <f t="shared" si="5"/>
        <v>0.32497685083680772</v>
      </c>
      <c r="Q14" s="3">
        <f t="shared" si="6"/>
        <v>0</v>
      </c>
      <c r="R14" s="3">
        <f t="shared" si="7"/>
        <v>0</v>
      </c>
    </row>
    <row r="15" spans="2:18" x14ac:dyDescent="0.2">
      <c r="B15" s="5">
        <v>8</v>
      </c>
      <c r="C15" s="5">
        <v>0</v>
      </c>
      <c r="D15" s="5">
        <v>21</v>
      </c>
      <c r="E15" s="5">
        <v>2</v>
      </c>
      <c r="G15" s="4">
        <f t="shared" si="0"/>
        <v>0</v>
      </c>
      <c r="H15" s="4">
        <f t="shared" si="1"/>
        <v>0.72397370880059086</v>
      </c>
      <c r="J15" s="4">
        <f t="shared" si="2"/>
        <v>1.8016671629932601</v>
      </c>
      <c r="K15" s="4">
        <f t="shared" si="3"/>
        <v>1.8016671629932604</v>
      </c>
      <c r="M15" s="4">
        <f t="shared" si="4"/>
        <v>0.42993259097120123</v>
      </c>
      <c r="N15" s="4"/>
      <c r="O15" s="4">
        <f t="shared" si="5"/>
        <v>0.18484203277921021</v>
      </c>
      <c r="Q15" s="3">
        <f t="shared" si="6"/>
        <v>0</v>
      </c>
      <c r="R15" s="3">
        <f t="shared" si="7"/>
        <v>1</v>
      </c>
    </row>
    <row r="16" spans="2:18" x14ac:dyDescent="0.2">
      <c r="B16" s="5">
        <v>9</v>
      </c>
      <c r="C16" s="5">
        <v>1</v>
      </c>
      <c r="D16" s="5">
        <v>62</v>
      </c>
      <c r="E16" s="5">
        <v>0</v>
      </c>
      <c r="G16" s="4">
        <f t="shared" si="0"/>
        <v>0.93181818181818177</v>
      </c>
      <c r="H16" s="4">
        <f t="shared" si="1"/>
        <v>-1.0859605632008862</v>
      </c>
      <c r="J16" s="4">
        <f t="shared" si="2"/>
        <v>-2.7025007444898899</v>
      </c>
      <c r="K16" s="4">
        <f t="shared" si="3"/>
        <v>-2.7025007444898903</v>
      </c>
      <c r="M16" s="4">
        <f t="shared" si="4"/>
        <v>0.60424616319095914</v>
      </c>
      <c r="N16" s="4"/>
      <c r="O16" s="4">
        <f t="shared" si="5"/>
        <v>0.15662109934907695</v>
      </c>
      <c r="Q16" s="3">
        <f t="shared" si="6"/>
        <v>1</v>
      </c>
      <c r="R16" s="3">
        <f t="shared" si="7"/>
        <v>1</v>
      </c>
    </row>
    <row r="17" spans="2:18" x14ac:dyDescent="0.2">
      <c r="B17" s="5">
        <v>10</v>
      </c>
      <c r="C17" s="5">
        <v>0</v>
      </c>
      <c r="D17" s="5">
        <v>32</v>
      </c>
      <c r="E17" s="5">
        <v>2</v>
      </c>
      <c r="G17" s="4">
        <f t="shared" si="0"/>
        <v>0.25</v>
      </c>
      <c r="H17" s="4">
        <f t="shared" si="1"/>
        <v>0.72397370880059086</v>
      </c>
      <c r="J17" s="4">
        <f t="shared" si="2"/>
        <v>1.8016671629932601</v>
      </c>
      <c r="K17" s="4">
        <f t="shared" si="3"/>
        <v>1.8016671629932604</v>
      </c>
      <c r="M17" s="4">
        <f t="shared" si="4"/>
        <v>0.42993259097120123</v>
      </c>
      <c r="N17" s="4"/>
      <c r="O17" s="4">
        <f t="shared" si="5"/>
        <v>0.18484203277921021</v>
      </c>
      <c r="Q17" s="3">
        <f t="shared" si="6"/>
        <v>0</v>
      </c>
      <c r="R17" s="3">
        <f t="shared" si="7"/>
        <v>1</v>
      </c>
    </row>
    <row r="18" spans="2:18" x14ac:dyDescent="0.2">
      <c r="B18" s="5">
        <v>11</v>
      </c>
      <c r="C18" s="5">
        <v>0</v>
      </c>
      <c r="D18" s="5">
        <v>26</v>
      </c>
      <c r="E18" s="5">
        <v>1</v>
      </c>
      <c r="G18" s="4">
        <f t="shared" si="0"/>
        <v>0.11363636363636363</v>
      </c>
      <c r="H18" s="4">
        <f t="shared" si="1"/>
        <v>-0.18099342720014769</v>
      </c>
      <c r="J18" s="4">
        <f t="shared" si="2"/>
        <v>-0.45041679074831498</v>
      </c>
      <c r="K18" s="4">
        <f t="shared" si="3"/>
        <v>-0.45041679074831503</v>
      </c>
      <c r="M18" s="4">
        <f t="shared" si="4"/>
        <v>0.51762558028073724</v>
      </c>
      <c r="N18" s="4"/>
      <c r="O18" s="4">
        <f t="shared" si="5"/>
        <v>0.26793624136096994</v>
      </c>
      <c r="Q18" s="3">
        <f t="shared" si="6"/>
        <v>1</v>
      </c>
      <c r="R18" s="3">
        <f t="shared" si="7"/>
        <v>0</v>
      </c>
    </row>
    <row r="19" spans="2:18" x14ac:dyDescent="0.2">
      <c r="B19" s="5">
        <v>12</v>
      </c>
      <c r="C19" s="5">
        <v>1</v>
      </c>
      <c r="D19" s="5">
        <v>33</v>
      </c>
      <c r="E19" s="5">
        <v>0</v>
      </c>
      <c r="G19" s="4">
        <f t="shared" si="0"/>
        <v>0.27272727272727271</v>
      </c>
      <c r="H19" s="4">
        <f t="shared" si="1"/>
        <v>-1.0859605632008862</v>
      </c>
      <c r="J19" s="4">
        <f t="shared" si="2"/>
        <v>-2.7025007444898899</v>
      </c>
      <c r="K19" s="4">
        <f t="shared" si="3"/>
        <v>-2.7025007444898903</v>
      </c>
      <c r="M19" s="4">
        <f t="shared" si="4"/>
        <v>0.60424616319095914</v>
      </c>
      <c r="N19" s="4"/>
      <c r="O19" s="4">
        <f t="shared" si="5"/>
        <v>0.15662109934907695</v>
      </c>
      <c r="Q19" s="3">
        <f t="shared" si="6"/>
        <v>1</v>
      </c>
      <c r="R19" s="3">
        <f t="shared" si="7"/>
        <v>1</v>
      </c>
    </row>
    <row r="20" spans="2:18" x14ac:dyDescent="0.2">
      <c r="B20" s="5">
        <v>13</v>
      </c>
      <c r="C20" s="5">
        <v>1</v>
      </c>
      <c r="D20" s="5">
        <v>61</v>
      </c>
      <c r="E20" s="5">
        <v>1</v>
      </c>
      <c r="G20" s="4">
        <f t="shared" si="0"/>
        <v>0.90909090909090906</v>
      </c>
      <c r="H20" s="4">
        <f t="shared" si="1"/>
        <v>-0.18099342720014769</v>
      </c>
      <c r="J20" s="4">
        <f t="shared" si="2"/>
        <v>-0.45041679074831498</v>
      </c>
      <c r="K20" s="4">
        <f t="shared" si="3"/>
        <v>-0.45041679074831503</v>
      </c>
      <c r="M20" s="4">
        <f t="shared" si="4"/>
        <v>0.51762558028073724</v>
      </c>
      <c r="N20" s="4"/>
      <c r="O20" s="4">
        <f t="shared" si="5"/>
        <v>0.23268508079949549</v>
      </c>
      <c r="Q20" s="3">
        <f t="shared" si="6"/>
        <v>1</v>
      </c>
      <c r="R20" s="3">
        <f t="shared" si="7"/>
        <v>1</v>
      </c>
    </row>
    <row r="21" spans="2:18" x14ac:dyDescent="0.2">
      <c r="B21" s="5">
        <v>14</v>
      </c>
      <c r="C21" s="5">
        <v>0</v>
      </c>
      <c r="D21" s="5">
        <v>30</v>
      </c>
      <c r="E21" s="5">
        <v>2</v>
      </c>
      <c r="G21" s="4">
        <f t="shared" si="0"/>
        <v>0.20454545454545456</v>
      </c>
      <c r="H21" s="4">
        <f t="shared" si="1"/>
        <v>0.72397370880059086</v>
      </c>
      <c r="J21" s="4">
        <f t="shared" si="2"/>
        <v>1.8016671629932601</v>
      </c>
      <c r="K21" s="4">
        <f t="shared" si="3"/>
        <v>1.8016671629932604</v>
      </c>
      <c r="M21" s="4">
        <f t="shared" si="4"/>
        <v>0.42993259097120123</v>
      </c>
      <c r="N21" s="4"/>
      <c r="O21" s="4">
        <f t="shared" si="5"/>
        <v>0.18484203277921021</v>
      </c>
      <c r="Q21" s="3">
        <f t="shared" si="6"/>
        <v>0</v>
      </c>
      <c r="R21" s="3">
        <f t="shared" si="7"/>
        <v>1</v>
      </c>
    </row>
    <row r="22" spans="2:18" x14ac:dyDescent="0.2">
      <c r="B22" s="5">
        <v>15</v>
      </c>
      <c r="C22" s="5">
        <v>0</v>
      </c>
      <c r="D22" s="5">
        <v>52</v>
      </c>
      <c r="E22" s="5">
        <v>3</v>
      </c>
      <c r="G22" s="4">
        <f t="shared" si="0"/>
        <v>0.70454545454545459</v>
      </c>
      <c r="H22" s="4">
        <f t="shared" si="1"/>
        <v>1.6289408448013294</v>
      </c>
      <c r="J22" s="4">
        <f t="shared" si="2"/>
        <v>4.0537511167348352</v>
      </c>
      <c r="K22" s="4">
        <f t="shared" si="3"/>
        <v>4.0537511167348361</v>
      </c>
      <c r="M22" s="4">
        <f t="shared" si="4"/>
        <v>0.346426592595381</v>
      </c>
      <c r="N22" s="4"/>
      <c r="O22" s="4">
        <f t="shared" si="5"/>
        <v>0.12001138405724608</v>
      </c>
      <c r="Q22" s="3">
        <f t="shared" si="6"/>
        <v>0</v>
      </c>
      <c r="R22" s="3">
        <f t="shared" si="7"/>
        <v>1</v>
      </c>
    </row>
    <row r="23" spans="2:18" x14ac:dyDescent="0.2">
      <c r="B23" s="5">
        <v>16</v>
      </c>
      <c r="C23" s="5">
        <v>1</v>
      </c>
      <c r="D23" s="5">
        <v>30</v>
      </c>
      <c r="E23" s="5">
        <v>3</v>
      </c>
      <c r="G23" s="4">
        <f t="shared" si="0"/>
        <v>0.20454545454545456</v>
      </c>
      <c r="H23" s="4">
        <f t="shared" si="1"/>
        <v>1.6289408448013294</v>
      </c>
      <c r="J23" s="4">
        <f t="shared" si="2"/>
        <v>4.0537511167348352</v>
      </c>
      <c r="K23" s="4">
        <f t="shared" si="3"/>
        <v>4.0537511167348361</v>
      </c>
      <c r="M23" s="4">
        <f t="shared" si="4"/>
        <v>0.346426592595381</v>
      </c>
      <c r="N23" s="4"/>
      <c r="O23" s="4">
        <f t="shared" si="5"/>
        <v>0.4271581988664841</v>
      </c>
      <c r="Q23" s="3">
        <f t="shared" si="6"/>
        <v>0</v>
      </c>
      <c r="R23" s="3">
        <f t="shared" si="7"/>
        <v>0</v>
      </c>
    </row>
    <row r="24" spans="2:18" x14ac:dyDescent="0.2">
      <c r="B24" s="5">
        <v>17</v>
      </c>
      <c r="C24" s="5">
        <v>1</v>
      </c>
      <c r="D24" s="5">
        <v>47</v>
      </c>
      <c r="E24" s="5">
        <v>2</v>
      </c>
      <c r="G24" s="4">
        <f t="shared" si="0"/>
        <v>0.59090909090909094</v>
      </c>
      <c r="H24" s="4">
        <f t="shared" si="1"/>
        <v>0.72397370880059086</v>
      </c>
      <c r="J24" s="4">
        <f t="shared" si="2"/>
        <v>1.8016671629932601</v>
      </c>
      <c r="K24" s="4">
        <f t="shared" si="3"/>
        <v>1.8016671629932604</v>
      </c>
      <c r="M24" s="4">
        <f t="shared" si="4"/>
        <v>0.42993259097120123</v>
      </c>
      <c r="N24" s="4"/>
      <c r="O24" s="4">
        <f t="shared" si="5"/>
        <v>0.32497685083680772</v>
      </c>
      <c r="Q24" s="3">
        <f t="shared" si="6"/>
        <v>0</v>
      </c>
      <c r="R24" s="3">
        <f t="shared" si="7"/>
        <v>0</v>
      </c>
    </row>
    <row r="25" spans="2:18" x14ac:dyDescent="0.2">
      <c r="B25" s="5">
        <v>18</v>
      </c>
      <c r="C25" s="5">
        <v>1</v>
      </c>
      <c r="D25" s="5">
        <v>57</v>
      </c>
      <c r="E25" s="5">
        <v>0</v>
      </c>
      <c r="G25" s="4">
        <f t="shared" si="0"/>
        <v>0.81818181818181823</v>
      </c>
      <c r="H25" s="4">
        <f t="shared" si="1"/>
        <v>-1.0859605632008862</v>
      </c>
      <c r="J25" s="4">
        <f t="shared" si="2"/>
        <v>-2.7025007444898899</v>
      </c>
      <c r="K25" s="4">
        <f t="shared" si="3"/>
        <v>-2.7025007444898903</v>
      </c>
      <c r="M25" s="4">
        <f t="shared" si="4"/>
        <v>0.60424616319095914</v>
      </c>
      <c r="N25" s="4"/>
      <c r="O25" s="4">
        <f t="shared" si="5"/>
        <v>0.15662109934907695</v>
      </c>
      <c r="Q25" s="3">
        <f t="shared" si="6"/>
        <v>1</v>
      </c>
      <c r="R25" s="3">
        <f t="shared" si="7"/>
        <v>1</v>
      </c>
    </row>
    <row r="26" spans="2:18" x14ac:dyDescent="0.2">
      <c r="B26" s="5">
        <v>19</v>
      </c>
      <c r="C26" s="5">
        <v>0</v>
      </c>
      <c r="D26" s="5">
        <v>49</v>
      </c>
      <c r="E26" s="5">
        <v>3</v>
      </c>
      <c r="G26" s="4">
        <f t="shared" si="0"/>
        <v>0.63636363636363635</v>
      </c>
      <c r="H26" s="4">
        <f t="shared" si="1"/>
        <v>1.6289408448013294</v>
      </c>
      <c r="J26" s="4">
        <f t="shared" si="2"/>
        <v>4.0537511167348352</v>
      </c>
      <c r="K26" s="4">
        <f t="shared" si="3"/>
        <v>4.0537511167348361</v>
      </c>
      <c r="M26" s="4">
        <f t="shared" si="4"/>
        <v>0.346426592595381</v>
      </c>
      <c r="N26" s="4"/>
      <c r="O26" s="4">
        <f t="shared" si="5"/>
        <v>0.12001138405724608</v>
      </c>
      <c r="Q26" s="3">
        <f t="shared" si="6"/>
        <v>0</v>
      </c>
      <c r="R26" s="3">
        <f t="shared" si="7"/>
        <v>1</v>
      </c>
    </row>
    <row r="27" spans="2:18" x14ac:dyDescent="0.2">
      <c r="B27" s="5">
        <v>20</v>
      </c>
      <c r="C27" s="5">
        <v>0</v>
      </c>
      <c r="D27" s="5">
        <v>22</v>
      </c>
      <c r="E27" s="5">
        <v>1</v>
      </c>
      <c r="G27" s="4">
        <f t="shared" si="0"/>
        <v>2.2727272727272728E-2</v>
      </c>
      <c r="H27" s="4">
        <f t="shared" si="1"/>
        <v>-0.18099342720014769</v>
      </c>
      <c r="J27" s="4">
        <f t="shared" si="2"/>
        <v>-0.45041679074831498</v>
      </c>
      <c r="K27" s="4">
        <f t="shared" si="3"/>
        <v>-0.45041679074831503</v>
      </c>
      <c r="M27" s="4">
        <f t="shared" si="4"/>
        <v>0.51762558028073724</v>
      </c>
      <c r="N27" s="4"/>
      <c r="O27" s="4">
        <f t="shared" si="5"/>
        <v>0.26793624136096994</v>
      </c>
      <c r="Q27" s="3">
        <f t="shared" si="6"/>
        <v>1</v>
      </c>
      <c r="R27" s="3">
        <f t="shared" si="7"/>
        <v>0</v>
      </c>
    </row>
    <row r="28" spans="2:18" x14ac:dyDescent="0.2">
      <c r="O28" s="4"/>
    </row>
    <row r="29" spans="2:18" x14ac:dyDescent="0.2">
      <c r="O29" s="4"/>
    </row>
    <row r="30" spans="2:18" x14ac:dyDescent="0.2">
      <c r="O30" s="4"/>
    </row>
    <row r="31" spans="2:18" x14ac:dyDescent="0.2">
      <c r="O31" s="4"/>
    </row>
    <row r="32" spans="2:18" x14ac:dyDescent="0.2">
      <c r="O32" s="4"/>
    </row>
    <row r="33" spans="15:15" x14ac:dyDescent="0.2">
      <c r="O33" s="4"/>
    </row>
    <row r="34" spans="15:15" x14ac:dyDescent="0.2">
      <c r="O34" s="4"/>
    </row>
    <row r="35" spans="15:15" x14ac:dyDescent="0.2">
      <c r="O35" s="4"/>
    </row>
    <row r="36" spans="15:15" x14ac:dyDescent="0.2">
      <c r="O36" s="4"/>
    </row>
    <row r="37" spans="15:15" x14ac:dyDescent="0.2">
      <c r="O37" s="4"/>
    </row>
    <row r="38" spans="15:15" x14ac:dyDescent="0.2">
      <c r="O38" s="4"/>
    </row>
    <row r="39" spans="15:15" x14ac:dyDescent="0.2">
      <c r="O39" s="4"/>
    </row>
  </sheetData>
  <mergeCells count="5">
    <mergeCell ref="Q5:R5"/>
    <mergeCell ref="B6:B7"/>
    <mergeCell ref="G6:H6"/>
    <mergeCell ref="J6:K6"/>
    <mergeCell ref="Q6:R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28E7-DFE5-CA43-BADF-A57EB92ABEC0}">
  <dimension ref="B2:T39"/>
  <sheetViews>
    <sheetView showGridLines="0" topLeftCell="I1" zoomScale="180" workbookViewId="0">
      <selection activeCell="V6" sqref="V6"/>
    </sheetView>
  </sheetViews>
  <sheetFormatPr baseColWidth="10" defaultRowHeight="16" x14ac:dyDescent="0.2"/>
  <cols>
    <col min="1" max="1" width="4" style="1" customWidth="1"/>
    <col min="2" max="9" width="10.83203125" style="1"/>
    <col min="10" max="10" width="13.6640625" style="1" bestFit="1" customWidth="1"/>
    <col min="11" max="11" width="13.6640625" style="1" customWidth="1"/>
    <col min="12" max="12" width="5.1640625" style="1" customWidth="1"/>
    <col min="13" max="13" width="13.6640625" style="1" customWidth="1"/>
    <col min="14" max="14" width="5.1640625" style="1" customWidth="1"/>
    <col min="15" max="15" width="13.6640625" style="1" customWidth="1"/>
    <col min="16" max="16" width="10.83203125" style="1"/>
    <col min="17" max="17" width="14" style="1" bestFit="1" customWidth="1"/>
    <col min="18" max="18" width="10.83203125" style="1"/>
    <col min="19" max="20" width="14.1640625" style="1" customWidth="1"/>
    <col min="21" max="16384" width="10.83203125" style="1"/>
  </cols>
  <sheetData>
    <row r="2" spans="2:20" x14ac:dyDescent="0.2">
      <c r="I2" s="2" t="s">
        <v>3</v>
      </c>
      <c r="J2" s="9">
        <v>0</v>
      </c>
      <c r="K2" s="9">
        <v>0</v>
      </c>
      <c r="L2" s="10"/>
      <c r="M2" s="9">
        <v>0</v>
      </c>
      <c r="N2" s="10"/>
      <c r="O2" s="9">
        <v>0</v>
      </c>
    </row>
    <row r="3" spans="2:20" x14ac:dyDescent="0.2">
      <c r="I3" s="2" t="s">
        <v>4</v>
      </c>
      <c r="J3" s="9">
        <v>0</v>
      </c>
      <c r="K3" s="9">
        <v>0</v>
      </c>
      <c r="L3" s="10"/>
      <c r="M3" s="9">
        <v>0.46654805324606174</v>
      </c>
      <c r="N3" s="10"/>
      <c r="O3" s="9">
        <v>0.21049320244395253</v>
      </c>
    </row>
    <row r="4" spans="2:20" x14ac:dyDescent="0.2">
      <c r="I4" s="2" t="s">
        <v>5</v>
      </c>
      <c r="J4" s="9">
        <v>1.9840660483776993</v>
      </c>
      <c r="K4" s="9">
        <v>1.9840660483776993</v>
      </c>
      <c r="L4" s="10"/>
      <c r="M4" s="9">
        <v>0.46654805316826747</v>
      </c>
      <c r="N4" s="10"/>
    </row>
    <row r="5" spans="2:20" x14ac:dyDescent="0.2">
      <c r="S5" s="17">
        <f>+AVERAGE(T8:T27)</f>
        <v>0.6</v>
      </c>
      <c r="T5" s="18"/>
    </row>
    <row r="6" spans="2:20" x14ac:dyDescent="0.2">
      <c r="B6" s="14" t="s">
        <v>14</v>
      </c>
      <c r="C6" s="5" t="s">
        <v>6</v>
      </c>
      <c r="D6" s="5" t="s">
        <v>7</v>
      </c>
      <c r="E6" s="5" t="s">
        <v>8</v>
      </c>
      <c r="G6" s="12" t="s">
        <v>9</v>
      </c>
      <c r="H6" s="12"/>
      <c r="J6" s="13" t="s">
        <v>12</v>
      </c>
      <c r="K6" s="13"/>
      <c r="L6" s="11"/>
      <c r="M6" s="5" t="s">
        <v>22</v>
      </c>
      <c r="N6" s="11"/>
      <c r="O6" s="5" t="s">
        <v>15</v>
      </c>
      <c r="Q6" s="7">
        <f>+SUM(Q8:Q27)</f>
        <v>4.8274131667019411</v>
      </c>
      <c r="S6" s="13" t="s">
        <v>18</v>
      </c>
      <c r="T6" s="13"/>
    </row>
    <row r="7" spans="2:20" x14ac:dyDescent="0.2">
      <c r="B7" s="15"/>
      <c r="C7" s="5" t="s">
        <v>0</v>
      </c>
      <c r="D7" s="5" t="s">
        <v>1</v>
      </c>
      <c r="E7" s="5" t="s">
        <v>2</v>
      </c>
      <c r="G7" s="6" t="s">
        <v>10</v>
      </c>
      <c r="H7" s="6" t="s">
        <v>11</v>
      </c>
      <c r="J7" s="5" t="s">
        <v>13</v>
      </c>
      <c r="K7" s="5" t="s">
        <v>21</v>
      </c>
      <c r="L7" s="11"/>
      <c r="M7" s="5" t="s">
        <v>13</v>
      </c>
      <c r="N7" s="11"/>
      <c r="O7" s="5" t="s">
        <v>16</v>
      </c>
      <c r="Q7" s="8" t="s">
        <v>17</v>
      </c>
      <c r="S7" s="5" t="s">
        <v>19</v>
      </c>
      <c r="T7" s="5" t="s">
        <v>20</v>
      </c>
    </row>
    <row r="8" spans="2:20" x14ac:dyDescent="0.2">
      <c r="B8" s="5">
        <v>1</v>
      </c>
      <c r="C8" s="5">
        <v>1</v>
      </c>
      <c r="D8" s="5">
        <v>42</v>
      </c>
      <c r="E8" s="5">
        <v>0</v>
      </c>
      <c r="G8" s="4">
        <f>+(D8-MIN($D$8:$D$27))/(MAX($D$8:$D$27)-MIN($D$8:$D$27))</f>
        <v>0.47727272727272729</v>
      </c>
      <c r="H8" s="4">
        <f>+(E8-AVERAGE($E$8:$E$27))/STDEV($E$8:$E$27)</f>
        <v>-1.0859605632008862</v>
      </c>
      <c r="J8" s="4">
        <f>+$J$2+($J$3*G8)+($J$4*H8)</f>
        <v>-2.154617483324003</v>
      </c>
      <c r="K8" s="4">
        <f>+$K$2+($K$3*G8)+($K$4*H8)</f>
        <v>-2.154617483324003</v>
      </c>
      <c r="L8" s="4"/>
      <c r="M8" s="4">
        <f>+$M$2+($M$3*J8)+($M$4*K8)</f>
        <v>-2.010465184501868</v>
      </c>
      <c r="N8" s="4"/>
      <c r="O8" s="4">
        <f>1/(1+EXP(+$O$2+($O$3*M8)))</f>
        <v>0.60424615816332317</v>
      </c>
      <c r="P8" s="4"/>
      <c r="Q8" s="4">
        <f>+(O8-C8)^2</f>
        <v>0.15662110332848941</v>
      </c>
      <c r="S8" s="3">
        <f>+IF(O8&gt;0.5,1,0)</f>
        <v>1</v>
      </c>
      <c r="T8" s="3">
        <f>+IF(S8=C8,1,0)</f>
        <v>1</v>
      </c>
    </row>
    <row r="9" spans="2:20" x14ac:dyDescent="0.2">
      <c r="B9" s="5">
        <v>2</v>
      </c>
      <c r="C9" s="5">
        <v>0</v>
      </c>
      <c r="D9" s="5">
        <v>60</v>
      </c>
      <c r="E9" s="5">
        <v>0</v>
      </c>
      <c r="G9" s="4">
        <f t="shared" ref="G9:G27" si="0">+(D9-MIN($D$8:$D$27))/(MAX($D$8:$D$27)-MIN($D$8:$D$27))</f>
        <v>0.88636363636363635</v>
      </c>
      <c r="H9" s="4">
        <f t="shared" ref="H9:H27" si="1">+(E9-AVERAGE($E$8:$E$27))/STDEV($E$8:$E$27)</f>
        <v>-1.0859605632008862</v>
      </c>
      <c r="J9" s="4">
        <f t="shared" ref="J9:J27" si="2">+$J$2+($J$3*G9)+($J$4*H9)</f>
        <v>-2.154617483324003</v>
      </c>
      <c r="K9" s="4">
        <f t="shared" ref="K9:K27" si="3">+$K$2+($K$3*G9)+($K$4*H9)</f>
        <v>-2.154617483324003</v>
      </c>
      <c r="L9" s="4"/>
      <c r="M9" s="4">
        <f t="shared" ref="M9:M27" si="4">+$M$2+($M$3*J9)+($M$4*K9)</f>
        <v>-2.010465184501868</v>
      </c>
      <c r="N9" s="4"/>
      <c r="O9" s="4">
        <f t="shared" ref="O9:O27" si="5">1/(1+EXP(+$O$2+($O$3*M9)))</f>
        <v>0.60424615816332317</v>
      </c>
      <c r="P9" s="4"/>
      <c r="Q9" s="4">
        <f t="shared" ref="Q9:Q27" si="6">+(O9-C9)^2</f>
        <v>0.36511341965513577</v>
      </c>
      <c r="S9" s="3">
        <f t="shared" ref="S9:S27" si="7">+IF(O9&gt;0.5,1,0)</f>
        <v>1</v>
      </c>
      <c r="T9" s="3">
        <f t="shared" ref="T9:T27" si="8">+IF(S9=C9,1,0)</f>
        <v>0</v>
      </c>
    </row>
    <row r="10" spans="2:20" x14ac:dyDescent="0.2">
      <c r="B10" s="5">
        <v>3</v>
      </c>
      <c r="C10" s="5">
        <v>1</v>
      </c>
      <c r="D10" s="5">
        <v>27</v>
      </c>
      <c r="E10" s="5">
        <v>1</v>
      </c>
      <c r="G10" s="4">
        <f t="shared" si="0"/>
        <v>0.13636363636363635</v>
      </c>
      <c r="H10" s="4">
        <f t="shared" si="1"/>
        <v>-0.18099342720014769</v>
      </c>
      <c r="J10" s="4">
        <f t="shared" si="2"/>
        <v>-0.35910291388733384</v>
      </c>
      <c r="K10" s="4">
        <f t="shared" si="3"/>
        <v>-0.35910291388733384</v>
      </c>
      <c r="L10" s="4"/>
      <c r="M10" s="4">
        <f t="shared" si="4"/>
        <v>-0.33507753075031138</v>
      </c>
      <c r="N10" s="4"/>
      <c r="O10" s="4">
        <f t="shared" si="5"/>
        <v>0.51762557940580678</v>
      </c>
      <c r="P10" s="4"/>
      <c r="Q10" s="4">
        <f t="shared" si="6"/>
        <v>0.23268508164358362</v>
      </c>
      <c r="S10" s="3">
        <f t="shared" si="7"/>
        <v>1</v>
      </c>
      <c r="T10" s="3">
        <f t="shared" si="8"/>
        <v>1</v>
      </c>
    </row>
    <row r="11" spans="2:20" x14ac:dyDescent="0.2">
      <c r="B11" s="5">
        <v>4</v>
      </c>
      <c r="C11" s="5">
        <v>0</v>
      </c>
      <c r="D11" s="5">
        <v>31</v>
      </c>
      <c r="E11" s="5">
        <v>0</v>
      </c>
      <c r="G11" s="4">
        <f t="shared" si="0"/>
        <v>0.22727272727272727</v>
      </c>
      <c r="H11" s="4">
        <f t="shared" si="1"/>
        <v>-1.0859605632008862</v>
      </c>
      <c r="J11" s="4">
        <f t="shared" si="2"/>
        <v>-2.154617483324003</v>
      </c>
      <c r="K11" s="4">
        <f t="shared" si="3"/>
        <v>-2.154617483324003</v>
      </c>
      <c r="L11" s="4"/>
      <c r="M11" s="4">
        <f t="shared" si="4"/>
        <v>-2.010465184501868</v>
      </c>
      <c r="N11" s="4"/>
      <c r="O11" s="4">
        <f t="shared" si="5"/>
        <v>0.60424615816332317</v>
      </c>
      <c r="P11" s="4"/>
      <c r="Q11" s="4">
        <f t="shared" si="6"/>
        <v>0.36511341965513577</v>
      </c>
      <c r="S11" s="3">
        <f t="shared" si="7"/>
        <v>1</v>
      </c>
      <c r="T11" s="3">
        <f t="shared" si="8"/>
        <v>0</v>
      </c>
    </row>
    <row r="12" spans="2:20" x14ac:dyDescent="0.2">
      <c r="B12" s="5">
        <v>5</v>
      </c>
      <c r="C12" s="5">
        <v>1</v>
      </c>
      <c r="D12" s="5">
        <v>65</v>
      </c>
      <c r="E12" s="5">
        <v>1</v>
      </c>
      <c r="G12" s="4">
        <f t="shared" si="0"/>
        <v>1</v>
      </c>
      <c r="H12" s="4">
        <f t="shared" si="1"/>
        <v>-0.18099342720014769</v>
      </c>
      <c r="J12" s="4">
        <f t="shared" si="2"/>
        <v>-0.35910291388733384</v>
      </c>
      <c r="K12" s="4">
        <f t="shared" si="3"/>
        <v>-0.35910291388733384</v>
      </c>
      <c r="L12" s="4"/>
      <c r="M12" s="4">
        <f t="shared" si="4"/>
        <v>-0.33507753075031138</v>
      </c>
      <c r="N12" s="4"/>
      <c r="O12" s="4">
        <f t="shared" si="5"/>
        <v>0.51762557940580678</v>
      </c>
      <c r="P12" s="4"/>
      <c r="Q12" s="4">
        <f t="shared" si="6"/>
        <v>0.23268508164358362</v>
      </c>
      <c r="S12" s="3">
        <f t="shared" si="7"/>
        <v>1</v>
      </c>
      <c r="T12" s="3">
        <f t="shared" si="8"/>
        <v>1</v>
      </c>
    </row>
    <row r="13" spans="2:20" x14ac:dyDescent="0.2">
      <c r="B13" s="5">
        <v>6</v>
      </c>
      <c r="C13" s="5">
        <v>0</v>
      </c>
      <c r="D13" s="5">
        <v>39</v>
      </c>
      <c r="E13" s="5">
        <v>0</v>
      </c>
      <c r="G13" s="4">
        <f t="shared" si="0"/>
        <v>0.40909090909090912</v>
      </c>
      <c r="H13" s="4">
        <f t="shared" si="1"/>
        <v>-1.0859605632008862</v>
      </c>
      <c r="J13" s="4">
        <f t="shared" si="2"/>
        <v>-2.154617483324003</v>
      </c>
      <c r="K13" s="4">
        <f t="shared" si="3"/>
        <v>-2.154617483324003</v>
      </c>
      <c r="L13" s="4"/>
      <c r="M13" s="4">
        <f t="shared" si="4"/>
        <v>-2.010465184501868</v>
      </c>
      <c r="N13" s="4"/>
      <c r="O13" s="4">
        <f t="shared" si="5"/>
        <v>0.60424615816332317</v>
      </c>
      <c r="P13" s="4"/>
      <c r="Q13" s="4">
        <f t="shared" si="6"/>
        <v>0.36511341965513577</v>
      </c>
      <c r="S13" s="3">
        <f t="shared" si="7"/>
        <v>1</v>
      </c>
      <c r="T13" s="3">
        <f t="shared" si="8"/>
        <v>0</v>
      </c>
    </row>
    <row r="14" spans="2:20" x14ac:dyDescent="0.2">
      <c r="B14" s="5">
        <v>7</v>
      </c>
      <c r="C14" s="5">
        <v>1</v>
      </c>
      <c r="D14" s="5">
        <v>37</v>
      </c>
      <c r="E14" s="5">
        <v>2</v>
      </c>
      <c r="G14" s="4">
        <f t="shared" si="0"/>
        <v>0.36363636363636365</v>
      </c>
      <c r="H14" s="4">
        <f t="shared" si="1"/>
        <v>0.72397370880059086</v>
      </c>
      <c r="J14" s="4">
        <f t="shared" si="2"/>
        <v>1.4364116555493356</v>
      </c>
      <c r="K14" s="4">
        <f t="shared" si="3"/>
        <v>1.4364116555493356</v>
      </c>
      <c r="L14" s="4"/>
      <c r="M14" s="4">
        <f t="shared" si="4"/>
        <v>1.3403101230012457</v>
      </c>
      <c r="N14" s="4"/>
      <c r="O14" s="4">
        <f t="shared" si="5"/>
        <v>0.4299325944064652</v>
      </c>
      <c r="P14" s="4"/>
      <c r="Q14" s="4">
        <f t="shared" si="6"/>
        <v>0.32497684692014378</v>
      </c>
      <c r="S14" s="3">
        <f t="shared" si="7"/>
        <v>0</v>
      </c>
      <c r="T14" s="3">
        <f t="shared" si="8"/>
        <v>0</v>
      </c>
    </row>
    <row r="15" spans="2:20" x14ac:dyDescent="0.2">
      <c r="B15" s="5">
        <v>8</v>
      </c>
      <c r="C15" s="5">
        <v>0</v>
      </c>
      <c r="D15" s="5">
        <v>21</v>
      </c>
      <c r="E15" s="5">
        <v>2</v>
      </c>
      <c r="G15" s="4">
        <f t="shared" si="0"/>
        <v>0</v>
      </c>
      <c r="H15" s="4">
        <f t="shared" si="1"/>
        <v>0.72397370880059086</v>
      </c>
      <c r="J15" s="4">
        <f t="shared" si="2"/>
        <v>1.4364116555493356</v>
      </c>
      <c r="K15" s="4">
        <f t="shared" si="3"/>
        <v>1.4364116555493356</v>
      </c>
      <c r="L15" s="4"/>
      <c r="M15" s="4">
        <f t="shared" si="4"/>
        <v>1.3403101230012457</v>
      </c>
      <c r="N15" s="4"/>
      <c r="O15" s="4">
        <f t="shared" si="5"/>
        <v>0.4299325944064652</v>
      </c>
      <c r="P15" s="4"/>
      <c r="Q15" s="4">
        <f t="shared" si="6"/>
        <v>0.18484203573307412</v>
      </c>
      <c r="S15" s="3">
        <f t="shared" si="7"/>
        <v>0</v>
      </c>
      <c r="T15" s="3">
        <f t="shared" si="8"/>
        <v>1</v>
      </c>
    </row>
    <row r="16" spans="2:20" x14ac:dyDescent="0.2">
      <c r="B16" s="5">
        <v>9</v>
      </c>
      <c r="C16" s="5">
        <v>1</v>
      </c>
      <c r="D16" s="5">
        <v>62</v>
      </c>
      <c r="E16" s="5">
        <v>0</v>
      </c>
      <c r="G16" s="4">
        <f t="shared" si="0"/>
        <v>0.93181818181818177</v>
      </c>
      <c r="H16" s="4">
        <f t="shared" si="1"/>
        <v>-1.0859605632008862</v>
      </c>
      <c r="J16" s="4">
        <f t="shared" si="2"/>
        <v>-2.154617483324003</v>
      </c>
      <c r="K16" s="4">
        <f t="shared" si="3"/>
        <v>-2.154617483324003</v>
      </c>
      <c r="L16" s="4"/>
      <c r="M16" s="4">
        <f t="shared" si="4"/>
        <v>-2.010465184501868</v>
      </c>
      <c r="N16" s="4"/>
      <c r="O16" s="4">
        <f t="shared" si="5"/>
        <v>0.60424615816332317</v>
      </c>
      <c r="P16" s="4"/>
      <c r="Q16" s="4">
        <f t="shared" si="6"/>
        <v>0.15662110332848941</v>
      </c>
      <c r="S16" s="3">
        <f t="shared" si="7"/>
        <v>1</v>
      </c>
      <c r="T16" s="3">
        <f t="shared" si="8"/>
        <v>1</v>
      </c>
    </row>
    <row r="17" spans="2:20" x14ac:dyDescent="0.2">
      <c r="B17" s="5">
        <v>10</v>
      </c>
      <c r="C17" s="5">
        <v>0</v>
      </c>
      <c r="D17" s="5">
        <v>32</v>
      </c>
      <c r="E17" s="5">
        <v>2</v>
      </c>
      <c r="G17" s="4">
        <f t="shared" si="0"/>
        <v>0.25</v>
      </c>
      <c r="H17" s="4">
        <f t="shared" si="1"/>
        <v>0.72397370880059086</v>
      </c>
      <c r="J17" s="4">
        <f t="shared" si="2"/>
        <v>1.4364116555493356</v>
      </c>
      <c r="K17" s="4">
        <f t="shared" si="3"/>
        <v>1.4364116555493356</v>
      </c>
      <c r="L17" s="4"/>
      <c r="M17" s="4">
        <f t="shared" si="4"/>
        <v>1.3403101230012457</v>
      </c>
      <c r="N17" s="4"/>
      <c r="O17" s="4">
        <f t="shared" si="5"/>
        <v>0.4299325944064652</v>
      </c>
      <c r="P17" s="4"/>
      <c r="Q17" s="4">
        <f t="shared" si="6"/>
        <v>0.18484203573307412</v>
      </c>
      <c r="S17" s="3">
        <f t="shared" si="7"/>
        <v>0</v>
      </c>
      <c r="T17" s="3">
        <f t="shared" si="8"/>
        <v>1</v>
      </c>
    </row>
    <row r="18" spans="2:20" x14ac:dyDescent="0.2">
      <c r="B18" s="5">
        <v>11</v>
      </c>
      <c r="C18" s="5">
        <v>0</v>
      </c>
      <c r="D18" s="5">
        <v>26</v>
      </c>
      <c r="E18" s="5">
        <v>1</v>
      </c>
      <c r="G18" s="4">
        <f t="shared" si="0"/>
        <v>0.11363636363636363</v>
      </c>
      <c r="H18" s="4">
        <f t="shared" si="1"/>
        <v>-0.18099342720014769</v>
      </c>
      <c r="J18" s="4">
        <f t="shared" si="2"/>
        <v>-0.35910291388733384</v>
      </c>
      <c r="K18" s="4">
        <f t="shared" si="3"/>
        <v>-0.35910291388733384</v>
      </c>
      <c r="L18" s="4"/>
      <c r="M18" s="4">
        <f t="shared" si="4"/>
        <v>-0.33507753075031138</v>
      </c>
      <c r="N18" s="4"/>
      <c r="O18" s="4">
        <f t="shared" si="5"/>
        <v>0.51762557940580678</v>
      </c>
      <c r="P18" s="4"/>
      <c r="Q18" s="4">
        <f t="shared" si="6"/>
        <v>0.26793624045519721</v>
      </c>
      <c r="S18" s="3">
        <f t="shared" si="7"/>
        <v>1</v>
      </c>
      <c r="T18" s="3">
        <f t="shared" si="8"/>
        <v>0</v>
      </c>
    </row>
    <row r="19" spans="2:20" x14ac:dyDescent="0.2">
      <c r="B19" s="5">
        <v>12</v>
      </c>
      <c r="C19" s="5">
        <v>1</v>
      </c>
      <c r="D19" s="5">
        <v>33</v>
      </c>
      <c r="E19" s="5">
        <v>0</v>
      </c>
      <c r="G19" s="4">
        <f t="shared" si="0"/>
        <v>0.27272727272727271</v>
      </c>
      <c r="H19" s="4">
        <f t="shared" si="1"/>
        <v>-1.0859605632008862</v>
      </c>
      <c r="J19" s="4">
        <f t="shared" si="2"/>
        <v>-2.154617483324003</v>
      </c>
      <c r="K19" s="4">
        <f t="shared" si="3"/>
        <v>-2.154617483324003</v>
      </c>
      <c r="L19" s="4"/>
      <c r="M19" s="4">
        <f t="shared" si="4"/>
        <v>-2.010465184501868</v>
      </c>
      <c r="N19" s="4"/>
      <c r="O19" s="4">
        <f t="shared" si="5"/>
        <v>0.60424615816332317</v>
      </c>
      <c r="P19" s="4"/>
      <c r="Q19" s="4">
        <f t="shared" si="6"/>
        <v>0.15662110332848941</v>
      </c>
      <c r="S19" s="3">
        <f t="shared" si="7"/>
        <v>1</v>
      </c>
      <c r="T19" s="3">
        <f t="shared" si="8"/>
        <v>1</v>
      </c>
    </row>
    <row r="20" spans="2:20" x14ac:dyDescent="0.2">
      <c r="B20" s="5">
        <v>13</v>
      </c>
      <c r="C20" s="5">
        <v>1</v>
      </c>
      <c r="D20" s="5">
        <v>61</v>
      </c>
      <c r="E20" s="5">
        <v>1</v>
      </c>
      <c r="G20" s="4">
        <f t="shared" si="0"/>
        <v>0.90909090909090906</v>
      </c>
      <c r="H20" s="4">
        <f t="shared" si="1"/>
        <v>-0.18099342720014769</v>
      </c>
      <c r="J20" s="4">
        <f t="shared" si="2"/>
        <v>-0.35910291388733384</v>
      </c>
      <c r="K20" s="4">
        <f t="shared" si="3"/>
        <v>-0.35910291388733384</v>
      </c>
      <c r="L20" s="4"/>
      <c r="M20" s="4">
        <f t="shared" si="4"/>
        <v>-0.33507753075031138</v>
      </c>
      <c r="N20" s="4"/>
      <c r="O20" s="4">
        <f t="shared" si="5"/>
        <v>0.51762557940580678</v>
      </c>
      <c r="P20" s="4"/>
      <c r="Q20" s="4">
        <f t="shared" si="6"/>
        <v>0.23268508164358362</v>
      </c>
      <c r="S20" s="3">
        <f t="shared" si="7"/>
        <v>1</v>
      </c>
      <c r="T20" s="3">
        <f t="shared" si="8"/>
        <v>1</v>
      </c>
    </row>
    <row r="21" spans="2:20" x14ac:dyDescent="0.2">
      <c r="B21" s="5">
        <v>14</v>
      </c>
      <c r="C21" s="5">
        <v>0</v>
      </c>
      <c r="D21" s="5">
        <v>30</v>
      </c>
      <c r="E21" s="5">
        <v>2</v>
      </c>
      <c r="G21" s="4">
        <f t="shared" si="0"/>
        <v>0.20454545454545456</v>
      </c>
      <c r="H21" s="4">
        <f t="shared" si="1"/>
        <v>0.72397370880059086</v>
      </c>
      <c r="J21" s="4">
        <f t="shared" si="2"/>
        <v>1.4364116555493356</v>
      </c>
      <c r="K21" s="4">
        <f t="shared" si="3"/>
        <v>1.4364116555493356</v>
      </c>
      <c r="L21" s="4"/>
      <c r="M21" s="4">
        <f t="shared" si="4"/>
        <v>1.3403101230012457</v>
      </c>
      <c r="N21" s="4"/>
      <c r="O21" s="4">
        <f t="shared" si="5"/>
        <v>0.4299325944064652</v>
      </c>
      <c r="P21" s="4"/>
      <c r="Q21" s="4">
        <f t="shared" si="6"/>
        <v>0.18484203573307412</v>
      </c>
      <c r="S21" s="3">
        <f t="shared" si="7"/>
        <v>0</v>
      </c>
      <c r="T21" s="3">
        <f t="shared" si="8"/>
        <v>1</v>
      </c>
    </row>
    <row r="22" spans="2:20" x14ac:dyDescent="0.2">
      <c r="B22" s="5">
        <v>15</v>
      </c>
      <c r="C22" s="5">
        <v>0</v>
      </c>
      <c r="D22" s="5">
        <v>52</v>
      </c>
      <c r="E22" s="5">
        <v>3</v>
      </c>
      <c r="G22" s="4">
        <f t="shared" si="0"/>
        <v>0.70454545454545459</v>
      </c>
      <c r="H22" s="4">
        <f t="shared" si="1"/>
        <v>1.6289408448013294</v>
      </c>
      <c r="J22" s="4">
        <f t="shared" si="2"/>
        <v>3.2319262249860046</v>
      </c>
      <c r="K22" s="4">
        <f t="shared" si="3"/>
        <v>3.2319262249860046</v>
      </c>
      <c r="L22" s="4"/>
      <c r="M22" s="4">
        <f t="shared" si="4"/>
        <v>3.0156977767528019</v>
      </c>
      <c r="N22" s="4"/>
      <c r="O22" s="4">
        <f t="shared" si="5"/>
        <v>0.34642659973576617</v>
      </c>
      <c r="P22" s="4"/>
      <c r="Q22" s="4">
        <f t="shared" si="6"/>
        <v>0.12001138900448474</v>
      </c>
      <c r="S22" s="3">
        <f t="shared" si="7"/>
        <v>0</v>
      </c>
      <c r="T22" s="3">
        <f t="shared" si="8"/>
        <v>1</v>
      </c>
    </row>
    <row r="23" spans="2:20" x14ac:dyDescent="0.2">
      <c r="B23" s="5">
        <v>16</v>
      </c>
      <c r="C23" s="5">
        <v>1</v>
      </c>
      <c r="D23" s="5">
        <v>30</v>
      </c>
      <c r="E23" s="5">
        <v>3</v>
      </c>
      <c r="G23" s="4">
        <f t="shared" si="0"/>
        <v>0.20454545454545456</v>
      </c>
      <c r="H23" s="4">
        <f t="shared" si="1"/>
        <v>1.6289408448013294</v>
      </c>
      <c r="J23" s="4">
        <f t="shared" si="2"/>
        <v>3.2319262249860046</v>
      </c>
      <c r="K23" s="4">
        <f t="shared" si="3"/>
        <v>3.2319262249860046</v>
      </c>
      <c r="L23" s="4"/>
      <c r="M23" s="4">
        <f t="shared" si="4"/>
        <v>3.0156977767528019</v>
      </c>
      <c r="N23" s="4"/>
      <c r="O23" s="4">
        <f t="shared" si="5"/>
        <v>0.34642659973576617</v>
      </c>
      <c r="P23" s="4"/>
      <c r="Q23" s="4">
        <f t="shared" si="6"/>
        <v>0.42715818953295243</v>
      </c>
      <c r="S23" s="3">
        <f t="shared" si="7"/>
        <v>0</v>
      </c>
      <c r="T23" s="3">
        <f t="shared" si="8"/>
        <v>0</v>
      </c>
    </row>
    <row r="24" spans="2:20" x14ac:dyDescent="0.2">
      <c r="B24" s="5">
        <v>17</v>
      </c>
      <c r="C24" s="5">
        <v>1</v>
      </c>
      <c r="D24" s="5">
        <v>47</v>
      </c>
      <c r="E24" s="5">
        <v>2</v>
      </c>
      <c r="G24" s="4">
        <f t="shared" si="0"/>
        <v>0.59090909090909094</v>
      </c>
      <c r="H24" s="4">
        <f t="shared" si="1"/>
        <v>0.72397370880059086</v>
      </c>
      <c r="J24" s="4">
        <f t="shared" si="2"/>
        <v>1.4364116555493356</v>
      </c>
      <c r="K24" s="4">
        <f t="shared" si="3"/>
        <v>1.4364116555493356</v>
      </c>
      <c r="L24" s="4"/>
      <c r="M24" s="4">
        <f t="shared" si="4"/>
        <v>1.3403101230012457</v>
      </c>
      <c r="N24" s="4"/>
      <c r="O24" s="4">
        <f t="shared" si="5"/>
        <v>0.4299325944064652</v>
      </c>
      <c r="P24" s="4"/>
      <c r="Q24" s="4">
        <f t="shared" si="6"/>
        <v>0.32497684692014378</v>
      </c>
      <c r="S24" s="3">
        <f t="shared" si="7"/>
        <v>0</v>
      </c>
      <c r="T24" s="3">
        <f t="shared" si="8"/>
        <v>0</v>
      </c>
    </row>
    <row r="25" spans="2:20" x14ac:dyDescent="0.2">
      <c r="B25" s="5">
        <v>18</v>
      </c>
      <c r="C25" s="5">
        <v>1</v>
      </c>
      <c r="D25" s="5">
        <v>57</v>
      </c>
      <c r="E25" s="5">
        <v>0</v>
      </c>
      <c r="G25" s="4">
        <f t="shared" si="0"/>
        <v>0.81818181818181823</v>
      </c>
      <c r="H25" s="4">
        <f t="shared" si="1"/>
        <v>-1.0859605632008862</v>
      </c>
      <c r="J25" s="4">
        <f t="shared" si="2"/>
        <v>-2.154617483324003</v>
      </c>
      <c r="K25" s="4">
        <f t="shared" si="3"/>
        <v>-2.154617483324003</v>
      </c>
      <c r="L25" s="4"/>
      <c r="M25" s="4">
        <f t="shared" si="4"/>
        <v>-2.010465184501868</v>
      </c>
      <c r="N25" s="4"/>
      <c r="O25" s="4">
        <f t="shared" si="5"/>
        <v>0.60424615816332317</v>
      </c>
      <c r="P25" s="4"/>
      <c r="Q25" s="4">
        <f t="shared" si="6"/>
        <v>0.15662110332848941</v>
      </c>
      <c r="S25" s="3">
        <f t="shared" si="7"/>
        <v>1</v>
      </c>
      <c r="T25" s="3">
        <f t="shared" si="8"/>
        <v>1</v>
      </c>
    </row>
    <row r="26" spans="2:20" x14ac:dyDescent="0.2">
      <c r="B26" s="5">
        <v>19</v>
      </c>
      <c r="C26" s="5">
        <v>0</v>
      </c>
      <c r="D26" s="5">
        <v>49</v>
      </c>
      <c r="E26" s="5">
        <v>3</v>
      </c>
      <c r="G26" s="4">
        <f t="shared" si="0"/>
        <v>0.63636363636363635</v>
      </c>
      <c r="H26" s="4">
        <f t="shared" si="1"/>
        <v>1.6289408448013294</v>
      </c>
      <c r="J26" s="4">
        <f t="shared" si="2"/>
        <v>3.2319262249860046</v>
      </c>
      <c r="K26" s="4">
        <f t="shared" si="3"/>
        <v>3.2319262249860046</v>
      </c>
      <c r="L26" s="4"/>
      <c r="M26" s="4">
        <f t="shared" si="4"/>
        <v>3.0156977767528019</v>
      </c>
      <c r="N26" s="4"/>
      <c r="O26" s="4">
        <f t="shared" si="5"/>
        <v>0.34642659973576617</v>
      </c>
      <c r="P26" s="4"/>
      <c r="Q26" s="4">
        <f t="shared" si="6"/>
        <v>0.12001138900448474</v>
      </c>
      <c r="S26" s="3">
        <f t="shared" si="7"/>
        <v>0</v>
      </c>
      <c r="T26" s="3">
        <f t="shared" si="8"/>
        <v>1</v>
      </c>
    </row>
    <row r="27" spans="2:20" x14ac:dyDescent="0.2">
      <c r="B27" s="5">
        <v>20</v>
      </c>
      <c r="C27" s="5">
        <v>0</v>
      </c>
      <c r="D27" s="5">
        <v>22</v>
      </c>
      <c r="E27" s="5">
        <v>1</v>
      </c>
      <c r="G27" s="4">
        <f t="shared" si="0"/>
        <v>2.2727272727272728E-2</v>
      </c>
      <c r="H27" s="4">
        <f t="shared" si="1"/>
        <v>-0.18099342720014769</v>
      </c>
      <c r="J27" s="4">
        <f t="shared" si="2"/>
        <v>-0.35910291388733384</v>
      </c>
      <c r="K27" s="4">
        <f t="shared" si="3"/>
        <v>-0.35910291388733384</v>
      </c>
      <c r="L27" s="4"/>
      <c r="M27" s="4">
        <f t="shared" si="4"/>
        <v>-0.33507753075031138</v>
      </c>
      <c r="N27" s="4"/>
      <c r="O27" s="4">
        <f t="shared" si="5"/>
        <v>0.51762557940580678</v>
      </c>
      <c r="P27" s="4"/>
      <c r="Q27" s="4">
        <f t="shared" si="6"/>
        <v>0.26793624045519721</v>
      </c>
      <c r="S27" s="3">
        <f t="shared" si="7"/>
        <v>1</v>
      </c>
      <c r="T27" s="3">
        <f t="shared" si="8"/>
        <v>0</v>
      </c>
    </row>
    <row r="28" spans="2:20" x14ac:dyDescent="0.2">
      <c r="Q28" s="4"/>
    </row>
    <row r="29" spans="2:20" x14ac:dyDescent="0.2">
      <c r="Q29" s="4"/>
    </row>
    <row r="30" spans="2:20" x14ac:dyDescent="0.2">
      <c r="Q30" s="4"/>
    </row>
    <row r="31" spans="2:20" x14ac:dyDescent="0.2">
      <c r="Q31" s="4"/>
    </row>
    <row r="32" spans="2:20" x14ac:dyDescent="0.2">
      <c r="Q32" s="4"/>
    </row>
    <row r="33" spans="17:17" x14ac:dyDescent="0.2">
      <c r="Q33" s="4"/>
    </row>
    <row r="34" spans="17:17" x14ac:dyDescent="0.2">
      <c r="Q34" s="4"/>
    </row>
    <row r="35" spans="17:17" x14ac:dyDescent="0.2">
      <c r="Q35" s="4"/>
    </row>
    <row r="36" spans="17:17" x14ac:dyDescent="0.2">
      <c r="Q36" s="4"/>
    </row>
    <row r="37" spans="17:17" x14ac:dyDescent="0.2">
      <c r="Q37" s="4"/>
    </row>
    <row r="38" spans="17:17" x14ac:dyDescent="0.2">
      <c r="Q38" s="4"/>
    </row>
    <row r="39" spans="17:17" x14ac:dyDescent="0.2">
      <c r="Q39" s="4"/>
    </row>
  </sheetData>
  <mergeCells count="5">
    <mergeCell ref="S5:T5"/>
    <mergeCell ref="B6:B7"/>
    <mergeCell ref="G6:H6"/>
    <mergeCell ref="J6:K6"/>
    <mergeCell ref="S6:T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E098-D675-614D-9314-FB30A76EA68F}">
  <dimension ref="B2:T39"/>
  <sheetViews>
    <sheetView showGridLines="0" topLeftCell="D1" zoomScale="180" workbookViewId="0">
      <selection activeCell="T3" sqref="T3"/>
    </sheetView>
  </sheetViews>
  <sheetFormatPr baseColWidth="10" defaultRowHeight="16" x14ac:dyDescent="0.2"/>
  <cols>
    <col min="1" max="1" width="4" style="1" customWidth="1"/>
    <col min="2" max="9" width="10.83203125" style="1"/>
    <col min="10" max="10" width="13.6640625" style="1" bestFit="1" customWidth="1"/>
    <col min="11" max="11" width="13.6640625" style="1" customWidth="1"/>
    <col min="12" max="12" width="5.1640625" style="1" customWidth="1"/>
    <col min="13" max="13" width="13.6640625" style="1" customWidth="1"/>
    <col min="14" max="14" width="5.1640625" style="1" customWidth="1"/>
    <col min="15" max="15" width="13.6640625" style="1" customWidth="1"/>
    <col min="16" max="16" width="10.83203125" style="1"/>
    <col min="17" max="17" width="14" style="1" bestFit="1" customWidth="1"/>
    <col min="18" max="18" width="10.83203125" style="1"/>
    <col min="19" max="20" width="14.1640625" style="1" customWidth="1"/>
    <col min="21" max="16384" width="10.83203125" style="1"/>
  </cols>
  <sheetData>
    <row r="2" spans="2:20" x14ac:dyDescent="0.2">
      <c r="I2" s="2" t="s">
        <v>3</v>
      </c>
      <c r="J2" s="9">
        <v>0</v>
      </c>
      <c r="K2" s="9">
        <v>0</v>
      </c>
      <c r="L2" s="10"/>
      <c r="M2" s="9">
        <v>0</v>
      </c>
      <c r="N2" s="10"/>
      <c r="O2" s="9">
        <v>0</v>
      </c>
    </row>
    <row r="3" spans="2:20" x14ac:dyDescent="0.2">
      <c r="I3" s="2" t="s">
        <v>4</v>
      </c>
      <c r="J3" s="9">
        <v>0</v>
      </c>
      <c r="K3" s="9">
        <v>0</v>
      </c>
      <c r="L3" s="10"/>
      <c r="M3" s="9">
        <v>0.46654805324606174</v>
      </c>
      <c r="N3" s="10"/>
      <c r="O3" s="9">
        <v>0.21049320244395253</v>
      </c>
    </row>
    <row r="4" spans="2:20" x14ac:dyDescent="0.2">
      <c r="I4" s="2" t="s">
        <v>5</v>
      </c>
      <c r="J4" s="9">
        <v>1.9840660483776993</v>
      </c>
      <c r="K4" s="9">
        <v>1.9840660483776993</v>
      </c>
      <c r="L4" s="10"/>
      <c r="M4" s="9">
        <v>0.46654805316826747</v>
      </c>
      <c r="N4" s="10"/>
    </row>
    <row r="5" spans="2:20" x14ac:dyDescent="0.2">
      <c r="S5" s="17">
        <f>+AVERAGE(T8:T27)</f>
        <v>0.6</v>
      </c>
      <c r="T5" s="18"/>
    </row>
    <row r="6" spans="2:20" x14ac:dyDescent="0.2">
      <c r="B6" s="14" t="s">
        <v>14</v>
      </c>
      <c r="C6" s="5" t="s">
        <v>6</v>
      </c>
      <c r="D6" s="5" t="s">
        <v>7</v>
      </c>
      <c r="E6" s="5" t="s">
        <v>8</v>
      </c>
      <c r="G6" s="12" t="s">
        <v>9</v>
      </c>
      <c r="H6" s="12"/>
      <c r="J6" s="13" t="s">
        <v>12</v>
      </c>
      <c r="K6" s="13"/>
      <c r="L6" s="11"/>
      <c r="M6" s="5" t="s">
        <v>22</v>
      </c>
      <c r="N6" s="11"/>
      <c r="O6" s="5" t="s">
        <v>15</v>
      </c>
      <c r="Q6" s="7">
        <f>+SUM(Q8:Q27)</f>
        <v>4.8274131667019411</v>
      </c>
      <c r="S6" s="13" t="s">
        <v>18</v>
      </c>
      <c r="T6" s="13"/>
    </row>
    <row r="7" spans="2:20" x14ac:dyDescent="0.2">
      <c r="B7" s="15"/>
      <c r="C7" s="5" t="s">
        <v>0</v>
      </c>
      <c r="D7" s="5" t="s">
        <v>1</v>
      </c>
      <c r="E7" s="5" t="s">
        <v>2</v>
      </c>
      <c r="G7" s="6" t="s">
        <v>10</v>
      </c>
      <c r="H7" s="6" t="s">
        <v>11</v>
      </c>
      <c r="J7" s="5" t="s">
        <v>13</v>
      </c>
      <c r="K7" s="5" t="s">
        <v>21</v>
      </c>
      <c r="L7" s="11"/>
      <c r="M7" s="5" t="s">
        <v>13</v>
      </c>
      <c r="N7" s="11"/>
      <c r="O7" s="5" t="s">
        <v>16</v>
      </c>
      <c r="Q7" s="8" t="s">
        <v>17</v>
      </c>
      <c r="S7" s="5" t="s">
        <v>19</v>
      </c>
      <c r="T7" s="5" t="s">
        <v>20</v>
      </c>
    </row>
    <row r="8" spans="2:20" x14ac:dyDescent="0.2">
      <c r="B8" s="5">
        <v>1</v>
      </c>
      <c r="C8" s="5">
        <v>1</v>
      </c>
      <c r="D8" s="5">
        <v>42</v>
      </c>
      <c r="E8" s="5">
        <v>0</v>
      </c>
      <c r="G8" s="4">
        <f>+(D8-MIN($D$8:$D$27))/(MAX($D$8:$D$27)-MIN($D$8:$D$27))</f>
        <v>0.47727272727272729</v>
      </c>
      <c r="H8" s="4">
        <f>+(E8-AVERAGE($E$8:$E$27))/STDEV($E$8:$E$27)</f>
        <v>-1.0859605632008862</v>
      </c>
      <c r="J8" s="4">
        <f>+$J$2+($J$3*G8)+($J$4*H8)</f>
        <v>-2.154617483324003</v>
      </c>
      <c r="K8" s="4">
        <f>+$K$2+($K$3*G8)+($K$4*H8)</f>
        <v>-2.154617483324003</v>
      </c>
      <c r="L8" s="4"/>
      <c r="M8" s="4">
        <f>+$M$2+($M$3*J8)+($M$4*K8)</f>
        <v>-2.010465184501868</v>
      </c>
      <c r="N8" s="4"/>
      <c r="O8" s="4">
        <f>1/(1+EXP(+$O$2+($O$3*M8)))</f>
        <v>0.60424615816332317</v>
      </c>
      <c r="P8" s="4"/>
      <c r="Q8" s="4">
        <f>+(O8-C8)^2</f>
        <v>0.15662110332848941</v>
      </c>
      <c r="S8" s="3">
        <f>+IF(O8&gt;0.5,1,0)</f>
        <v>1</v>
      </c>
      <c r="T8" s="3">
        <f>+IF(S8=C8,1,0)</f>
        <v>1</v>
      </c>
    </row>
    <row r="9" spans="2:20" x14ac:dyDescent="0.2">
      <c r="B9" s="5">
        <v>2</v>
      </c>
      <c r="C9" s="5">
        <v>0</v>
      </c>
      <c r="D9" s="5">
        <v>60</v>
      </c>
      <c r="E9" s="5">
        <v>0</v>
      </c>
      <c r="G9" s="4">
        <f t="shared" ref="G9:G27" si="0">+(D9-MIN($D$8:$D$27))/(MAX($D$8:$D$27)-MIN($D$8:$D$27))</f>
        <v>0.88636363636363635</v>
      </c>
      <c r="H9" s="4">
        <f t="shared" ref="H9:H27" si="1">+(E9-AVERAGE($E$8:$E$27))/STDEV($E$8:$E$27)</f>
        <v>-1.0859605632008862</v>
      </c>
      <c r="J9" s="4">
        <f t="shared" ref="J9:J27" si="2">+$J$2+($J$3*G9)+($J$4*H9)</f>
        <v>-2.154617483324003</v>
      </c>
      <c r="K9" s="4">
        <f t="shared" ref="K9:K27" si="3">+$K$2+($K$3*G9)+($K$4*H9)</f>
        <v>-2.154617483324003</v>
      </c>
      <c r="L9" s="4"/>
      <c r="M9" s="4">
        <f t="shared" ref="M9:M27" si="4">+$M$2+($M$3*J9)+($M$4*K9)</f>
        <v>-2.010465184501868</v>
      </c>
      <c r="N9" s="4"/>
      <c r="O9" s="4">
        <f t="shared" ref="O9:O27" si="5">1/(1+EXP(+$O$2+($O$3*M9)))</f>
        <v>0.60424615816332317</v>
      </c>
      <c r="P9" s="4"/>
      <c r="Q9" s="4">
        <f t="shared" ref="Q9:Q27" si="6">+(O9-C9)^2</f>
        <v>0.36511341965513577</v>
      </c>
      <c r="S9" s="3">
        <f t="shared" ref="S9:S27" si="7">+IF(O9&gt;0.5,1,0)</f>
        <v>1</v>
      </c>
      <c r="T9" s="3">
        <f t="shared" ref="T9:T27" si="8">+IF(S9=C9,1,0)</f>
        <v>0</v>
      </c>
    </row>
    <row r="10" spans="2:20" x14ac:dyDescent="0.2">
      <c r="B10" s="5">
        <v>3</v>
      </c>
      <c r="C10" s="5">
        <v>1</v>
      </c>
      <c r="D10" s="5">
        <v>27</v>
      </c>
      <c r="E10" s="5">
        <v>1</v>
      </c>
      <c r="G10" s="4">
        <f t="shared" si="0"/>
        <v>0.13636363636363635</v>
      </c>
      <c r="H10" s="4">
        <f t="shared" si="1"/>
        <v>-0.18099342720014769</v>
      </c>
      <c r="J10" s="4">
        <f t="shared" si="2"/>
        <v>-0.35910291388733384</v>
      </c>
      <c r="K10" s="4">
        <f t="shared" si="3"/>
        <v>-0.35910291388733384</v>
      </c>
      <c r="L10" s="4"/>
      <c r="M10" s="4">
        <f t="shared" si="4"/>
        <v>-0.33507753075031138</v>
      </c>
      <c r="N10" s="4"/>
      <c r="O10" s="4">
        <f t="shared" si="5"/>
        <v>0.51762557940580678</v>
      </c>
      <c r="P10" s="4"/>
      <c r="Q10" s="4">
        <f t="shared" si="6"/>
        <v>0.23268508164358362</v>
      </c>
      <c r="S10" s="3">
        <f t="shared" si="7"/>
        <v>1</v>
      </c>
      <c r="T10" s="3">
        <f t="shared" si="8"/>
        <v>1</v>
      </c>
    </row>
    <row r="11" spans="2:20" x14ac:dyDescent="0.2">
      <c r="B11" s="5">
        <v>4</v>
      </c>
      <c r="C11" s="5">
        <v>0</v>
      </c>
      <c r="D11" s="5">
        <v>31</v>
      </c>
      <c r="E11" s="5">
        <v>0</v>
      </c>
      <c r="G11" s="4">
        <f t="shared" si="0"/>
        <v>0.22727272727272727</v>
      </c>
      <c r="H11" s="4">
        <f t="shared" si="1"/>
        <v>-1.0859605632008862</v>
      </c>
      <c r="J11" s="4">
        <f t="shared" si="2"/>
        <v>-2.154617483324003</v>
      </c>
      <c r="K11" s="4">
        <f t="shared" si="3"/>
        <v>-2.154617483324003</v>
      </c>
      <c r="L11" s="4"/>
      <c r="M11" s="4">
        <f t="shared" si="4"/>
        <v>-2.010465184501868</v>
      </c>
      <c r="N11" s="4"/>
      <c r="O11" s="4">
        <f t="shared" si="5"/>
        <v>0.60424615816332317</v>
      </c>
      <c r="P11" s="4"/>
      <c r="Q11" s="4">
        <f t="shared" si="6"/>
        <v>0.36511341965513577</v>
      </c>
      <c r="S11" s="3">
        <f t="shared" si="7"/>
        <v>1</v>
      </c>
      <c r="T11" s="3">
        <f t="shared" si="8"/>
        <v>0</v>
      </c>
    </row>
    <row r="12" spans="2:20" x14ac:dyDescent="0.2">
      <c r="B12" s="5">
        <v>5</v>
      </c>
      <c r="C12" s="5">
        <v>1</v>
      </c>
      <c r="D12" s="5">
        <v>65</v>
      </c>
      <c r="E12" s="5">
        <v>1</v>
      </c>
      <c r="G12" s="4">
        <f t="shared" si="0"/>
        <v>1</v>
      </c>
      <c r="H12" s="4">
        <f t="shared" si="1"/>
        <v>-0.18099342720014769</v>
      </c>
      <c r="J12" s="4">
        <f t="shared" si="2"/>
        <v>-0.35910291388733384</v>
      </c>
      <c r="K12" s="4">
        <f t="shared" si="3"/>
        <v>-0.35910291388733384</v>
      </c>
      <c r="L12" s="4"/>
      <c r="M12" s="4">
        <f t="shared" si="4"/>
        <v>-0.33507753075031138</v>
      </c>
      <c r="N12" s="4"/>
      <c r="O12" s="4">
        <f t="shared" si="5"/>
        <v>0.51762557940580678</v>
      </c>
      <c r="P12" s="4"/>
      <c r="Q12" s="4">
        <f t="shared" si="6"/>
        <v>0.23268508164358362</v>
      </c>
      <c r="S12" s="3">
        <f t="shared" si="7"/>
        <v>1</v>
      </c>
      <c r="T12" s="3">
        <f t="shared" si="8"/>
        <v>1</v>
      </c>
    </row>
    <row r="13" spans="2:20" x14ac:dyDescent="0.2">
      <c r="B13" s="5">
        <v>6</v>
      </c>
      <c r="C13" s="5">
        <v>0</v>
      </c>
      <c r="D13" s="5">
        <v>39</v>
      </c>
      <c r="E13" s="5">
        <v>0</v>
      </c>
      <c r="G13" s="4">
        <f t="shared" si="0"/>
        <v>0.40909090909090912</v>
      </c>
      <c r="H13" s="4">
        <f t="shared" si="1"/>
        <v>-1.0859605632008862</v>
      </c>
      <c r="J13" s="4">
        <f t="shared" si="2"/>
        <v>-2.154617483324003</v>
      </c>
      <c r="K13" s="4">
        <f t="shared" si="3"/>
        <v>-2.154617483324003</v>
      </c>
      <c r="L13" s="4"/>
      <c r="M13" s="4">
        <f t="shared" si="4"/>
        <v>-2.010465184501868</v>
      </c>
      <c r="N13" s="4"/>
      <c r="O13" s="4">
        <f t="shared" si="5"/>
        <v>0.60424615816332317</v>
      </c>
      <c r="P13" s="4"/>
      <c r="Q13" s="4">
        <f t="shared" si="6"/>
        <v>0.36511341965513577</v>
      </c>
      <c r="S13" s="3">
        <f t="shared" si="7"/>
        <v>1</v>
      </c>
      <c r="T13" s="3">
        <f t="shared" si="8"/>
        <v>0</v>
      </c>
    </row>
    <row r="14" spans="2:20" x14ac:dyDescent="0.2">
      <c r="B14" s="5">
        <v>7</v>
      </c>
      <c r="C14" s="5">
        <v>1</v>
      </c>
      <c r="D14" s="5">
        <v>37</v>
      </c>
      <c r="E14" s="5">
        <v>2</v>
      </c>
      <c r="G14" s="4">
        <f t="shared" si="0"/>
        <v>0.36363636363636365</v>
      </c>
      <c r="H14" s="4">
        <f t="shared" si="1"/>
        <v>0.72397370880059086</v>
      </c>
      <c r="J14" s="4">
        <f t="shared" si="2"/>
        <v>1.4364116555493356</v>
      </c>
      <c r="K14" s="4">
        <f t="shared" si="3"/>
        <v>1.4364116555493356</v>
      </c>
      <c r="L14" s="4"/>
      <c r="M14" s="4">
        <f t="shared" si="4"/>
        <v>1.3403101230012457</v>
      </c>
      <c r="N14" s="4"/>
      <c r="O14" s="4">
        <f t="shared" si="5"/>
        <v>0.4299325944064652</v>
      </c>
      <c r="P14" s="4"/>
      <c r="Q14" s="4">
        <f t="shared" si="6"/>
        <v>0.32497684692014378</v>
      </c>
      <c r="S14" s="3">
        <f t="shared" si="7"/>
        <v>0</v>
      </c>
      <c r="T14" s="3">
        <f t="shared" si="8"/>
        <v>0</v>
      </c>
    </row>
    <row r="15" spans="2:20" x14ac:dyDescent="0.2">
      <c r="B15" s="5">
        <v>8</v>
      </c>
      <c r="C15" s="5">
        <v>0</v>
      </c>
      <c r="D15" s="5">
        <v>21</v>
      </c>
      <c r="E15" s="5">
        <v>2</v>
      </c>
      <c r="G15" s="4">
        <f t="shared" si="0"/>
        <v>0</v>
      </c>
      <c r="H15" s="4">
        <f t="shared" si="1"/>
        <v>0.72397370880059086</v>
      </c>
      <c r="J15" s="4">
        <f t="shared" si="2"/>
        <v>1.4364116555493356</v>
      </c>
      <c r="K15" s="4">
        <f t="shared" si="3"/>
        <v>1.4364116555493356</v>
      </c>
      <c r="L15" s="4"/>
      <c r="M15" s="4">
        <f t="shared" si="4"/>
        <v>1.3403101230012457</v>
      </c>
      <c r="N15" s="4"/>
      <c r="O15" s="4">
        <f t="shared" si="5"/>
        <v>0.4299325944064652</v>
      </c>
      <c r="P15" s="4"/>
      <c r="Q15" s="4">
        <f t="shared" si="6"/>
        <v>0.18484203573307412</v>
      </c>
      <c r="S15" s="3">
        <f t="shared" si="7"/>
        <v>0</v>
      </c>
      <c r="T15" s="3">
        <f t="shared" si="8"/>
        <v>1</v>
      </c>
    </row>
    <row r="16" spans="2:20" x14ac:dyDescent="0.2">
      <c r="B16" s="5">
        <v>9</v>
      </c>
      <c r="C16" s="5">
        <v>1</v>
      </c>
      <c r="D16" s="5">
        <v>62</v>
      </c>
      <c r="E16" s="5">
        <v>0</v>
      </c>
      <c r="G16" s="4">
        <f t="shared" si="0"/>
        <v>0.93181818181818177</v>
      </c>
      <c r="H16" s="4">
        <f t="shared" si="1"/>
        <v>-1.0859605632008862</v>
      </c>
      <c r="J16" s="4">
        <f t="shared" si="2"/>
        <v>-2.154617483324003</v>
      </c>
      <c r="K16" s="4">
        <f t="shared" si="3"/>
        <v>-2.154617483324003</v>
      </c>
      <c r="L16" s="4"/>
      <c r="M16" s="4">
        <f t="shared" si="4"/>
        <v>-2.010465184501868</v>
      </c>
      <c r="N16" s="4"/>
      <c r="O16" s="4">
        <f t="shared" si="5"/>
        <v>0.60424615816332317</v>
      </c>
      <c r="P16" s="4"/>
      <c r="Q16" s="4">
        <f t="shared" si="6"/>
        <v>0.15662110332848941</v>
      </c>
      <c r="S16" s="3">
        <f t="shared" si="7"/>
        <v>1</v>
      </c>
      <c r="T16" s="3">
        <f t="shared" si="8"/>
        <v>1</v>
      </c>
    </row>
    <row r="17" spans="2:20" x14ac:dyDescent="0.2">
      <c r="B17" s="5">
        <v>10</v>
      </c>
      <c r="C17" s="5">
        <v>0</v>
      </c>
      <c r="D17" s="5">
        <v>32</v>
      </c>
      <c r="E17" s="5">
        <v>2</v>
      </c>
      <c r="G17" s="4">
        <f t="shared" si="0"/>
        <v>0.25</v>
      </c>
      <c r="H17" s="4">
        <f t="shared" si="1"/>
        <v>0.72397370880059086</v>
      </c>
      <c r="J17" s="4">
        <f t="shared" si="2"/>
        <v>1.4364116555493356</v>
      </c>
      <c r="K17" s="4">
        <f t="shared" si="3"/>
        <v>1.4364116555493356</v>
      </c>
      <c r="L17" s="4"/>
      <c r="M17" s="4">
        <f t="shared" si="4"/>
        <v>1.3403101230012457</v>
      </c>
      <c r="N17" s="4"/>
      <c r="O17" s="4">
        <f t="shared" si="5"/>
        <v>0.4299325944064652</v>
      </c>
      <c r="P17" s="4"/>
      <c r="Q17" s="4">
        <f t="shared" si="6"/>
        <v>0.18484203573307412</v>
      </c>
      <c r="S17" s="3">
        <f t="shared" si="7"/>
        <v>0</v>
      </c>
      <c r="T17" s="3">
        <f t="shared" si="8"/>
        <v>1</v>
      </c>
    </row>
    <row r="18" spans="2:20" x14ac:dyDescent="0.2">
      <c r="B18" s="5">
        <v>11</v>
      </c>
      <c r="C18" s="5">
        <v>0</v>
      </c>
      <c r="D18" s="5">
        <v>26</v>
      </c>
      <c r="E18" s="5">
        <v>1</v>
      </c>
      <c r="G18" s="4">
        <f t="shared" si="0"/>
        <v>0.11363636363636363</v>
      </c>
      <c r="H18" s="4">
        <f t="shared" si="1"/>
        <v>-0.18099342720014769</v>
      </c>
      <c r="J18" s="4">
        <f t="shared" si="2"/>
        <v>-0.35910291388733384</v>
      </c>
      <c r="K18" s="4">
        <f t="shared" si="3"/>
        <v>-0.35910291388733384</v>
      </c>
      <c r="L18" s="4"/>
      <c r="M18" s="4">
        <f t="shared" si="4"/>
        <v>-0.33507753075031138</v>
      </c>
      <c r="N18" s="4"/>
      <c r="O18" s="4">
        <f t="shared" si="5"/>
        <v>0.51762557940580678</v>
      </c>
      <c r="P18" s="4"/>
      <c r="Q18" s="4">
        <f t="shared" si="6"/>
        <v>0.26793624045519721</v>
      </c>
      <c r="S18" s="3">
        <f t="shared" si="7"/>
        <v>1</v>
      </c>
      <c r="T18" s="3">
        <f t="shared" si="8"/>
        <v>0</v>
      </c>
    </row>
    <row r="19" spans="2:20" x14ac:dyDescent="0.2">
      <c r="B19" s="5">
        <v>12</v>
      </c>
      <c r="C19" s="5">
        <v>1</v>
      </c>
      <c r="D19" s="5">
        <v>33</v>
      </c>
      <c r="E19" s="5">
        <v>0</v>
      </c>
      <c r="G19" s="4">
        <f t="shared" si="0"/>
        <v>0.27272727272727271</v>
      </c>
      <c r="H19" s="4">
        <f t="shared" si="1"/>
        <v>-1.0859605632008862</v>
      </c>
      <c r="J19" s="4">
        <f t="shared" si="2"/>
        <v>-2.154617483324003</v>
      </c>
      <c r="K19" s="4">
        <f t="shared" si="3"/>
        <v>-2.154617483324003</v>
      </c>
      <c r="L19" s="4"/>
      <c r="M19" s="4">
        <f t="shared" si="4"/>
        <v>-2.010465184501868</v>
      </c>
      <c r="N19" s="4"/>
      <c r="O19" s="4">
        <f t="shared" si="5"/>
        <v>0.60424615816332317</v>
      </c>
      <c r="P19" s="4"/>
      <c r="Q19" s="4">
        <f t="shared" si="6"/>
        <v>0.15662110332848941</v>
      </c>
      <c r="S19" s="3">
        <f t="shared" si="7"/>
        <v>1</v>
      </c>
      <c r="T19" s="3">
        <f t="shared" si="8"/>
        <v>1</v>
      </c>
    </row>
    <row r="20" spans="2:20" x14ac:dyDescent="0.2">
      <c r="B20" s="5">
        <v>13</v>
      </c>
      <c r="C20" s="5">
        <v>1</v>
      </c>
      <c r="D20" s="5">
        <v>61</v>
      </c>
      <c r="E20" s="5">
        <v>1</v>
      </c>
      <c r="G20" s="4">
        <f t="shared" si="0"/>
        <v>0.90909090909090906</v>
      </c>
      <c r="H20" s="4">
        <f t="shared" si="1"/>
        <v>-0.18099342720014769</v>
      </c>
      <c r="J20" s="4">
        <f t="shared" si="2"/>
        <v>-0.35910291388733384</v>
      </c>
      <c r="K20" s="4">
        <f t="shared" si="3"/>
        <v>-0.35910291388733384</v>
      </c>
      <c r="L20" s="4"/>
      <c r="M20" s="4">
        <f t="shared" si="4"/>
        <v>-0.33507753075031138</v>
      </c>
      <c r="N20" s="4"/>
      <c r="O20" s="4">
        <f t="shared" si="5"/>
        <v>0.51762557940580678</v>
      </c>
      <c r="P20" s="4"/>
      <c r="Q20" s="4">
        <f t="shared" si="6"/>
        <v>0.23268508164358362</v>
      </c>
      <c r="S20" s="3">
        <f t="shared" si="7"/>
        <v>1</v>
      </c>
      <c r="T20" s="3">
        <f t="shared" si="8"/>
        <v>1</v>
      </c>
    </row>
    <row r="21" spans="2:20" x14ac:dyDescent="0.2">
      <c r="B21" s="5">
        <v>14</v>
      </c>
      <c r="C21" s="5">
        <v>0</v>
      </c>
      <c r="D21" s="5">
        <v>30</v>
      </c>
      <c r="E21" s="5">
        <v>2</v>
      </c>
      <c r="G21" s="4">
        <f t="shared" si="0"/>
        <v>0.20454545454545456</v>
      </c>
      <c r="H21" s="4">
        <f t="shared" si="1"/>
        <v>0.72397370880059086</v>
      </c>
      <c r="J21" s="4">
        <f t="shared" si="2"/>
        <v>1.4364116555493356</v>
      </c>
      <c r="K21" s="4">
        <f t="shared" si="3"/>
        <v>1.4364116555493356</v>
      </c>
      <c r="L21" s="4"/>
      <c r="M21" s="4">
        <f t="shared" si="4"/>
        <v>1.3403101230012457</v>
      </c>
      <c r="N21" s="4"/>
      <c r="O21" s="4">
        <f t="shared" si="5"/>
        <v>0.4299325944064652</v>
      </c>
      <c r="P21" s="4"/>
      <c r="Q21" s="4">
        <f t="shared" si="6"/>
        <v>0.18484203573307412</v>
      </c>
      <c r="S21" s="3">
        <f t="shared" si="7"/>
        <v>0</v>
      </c>
      <c r="T21" s="3">
        <f t="shared" si="8"/>
        <v>1</v>
      </c>
    </row>
    <row r="22" spans="2:20" x14ac:dyDescent="0.2">
      <c r="B22" s="5">
        <v>15</v>
      </c>
      <c r="C22" s="5">
        <v>0</v>
      </c>
      <c r="D22" s="5">
        <v>52</v>
      </c>
      <c r="E22" s="5">
        <v>3</v>
      </c>
      <c r="G22" s="4">
        <f t="shared" si="0"/>
        <v>0.70454545454545459</v>
      </c>
      <c r="H22" s="4">
        <f t="shared" si="1"/>
        <v>1.6289408448013294</v>
      </c>
      <c r="J22" s="4">
        <f t="shared" si="2"/>
        <v>3.2319262249860046</v>
      </c>
      <c r="K22" s="4">
        <f t="shared" si="3"/>
        <v>3.2319262249860046</v>
      </c>
      <c r="L22" s="4"/>
      <c r="M22" s="4">
        <f t="shared" si="4"/>
        <v>3.0156977767528019</v>
      </c>
      <c r="N22" s="4"/>
      <c r="O22" s="4">
        <f t="shared" si="5"/>
        <v>0.34642659973576617</v>
      </c>
      <c r="P22" s="4"/>
      <c r="Q22" s="4">
        <f t="shared" si="6"/>
        <v>0.12001138900448474</v>
      </c>
      <c r="S22" s="3">
        <f t="shared" si="7"/>
        <v>0</v>
      </c>
      <c r="T22" s="3">
        <f t="shared" si="8"/>
        <v>1</v>
      </c>
    </row>
    <row r="23" spans="2:20" x14ac:dyDescent="0.2">
      <c r="B23" s="5">
        <v>16</v>
      </c>
      <c r="C23" s="5">
        <v>1</v>
      </c>
      <c r="D23" s="5">
        <v>30</v>
      </c>
      <c r="E23" s="5">
        <v>3</v>
      </c>
      <c r="G23" s="4">
        <f t="shared" si="0"/>
        <v>0.20454545454545456</v>
      </c>
      <c r="H23" s="4">
        <f t="shared" si="1"/>
        <v>1.6289408448013294</v>
      </c>
      <c r="J23" s="4">
        <f t="shared" si="2"/>
        <v>3.2319262249860046</v>
      </c>
      <c r="K23" s="4">
        <f t="shared" si="3"/>
        <v>3.2319262249860046</v>
      </c>
      <c r="L23" s="4"/>
      <c r="M23" s="4">
        <f t="shared" si="4"/>
        <v>3.0156977767528019</v>
      </c>
      <c r="N23" s="4"/>
      <c r="O23" s="4">
        <f t="shared" si="5"/>
        <v>0.34642659973576617</v>
      </c>
      <c r="P23" s="4"/>
      <c r="Q23" s="4">
        <f t="shared" si="6"/>
        <v>0.42715818953295243</v>
      </c>
      <c r="S23" s="3">
        <f t="shared" si="7"/>
        <v>0</v>
      </c>
      <c r="T23" s="3">
        <f t="shared" si="8"/>
        <v>0</v>
      </c>
    </row>
    <row r="24" spans="2:20" x14ac:dyDescent="0.2">
      <c r="B24" s="5">
        <v>17</v>
      </c>
      <c r="C24" s="5">
        <v>1</v>
      </c>
      <c r="D24" s="5">
        <v>47</v>
      </c>
      <c r="E24" s="5">
        <v>2</v>
      </c>
      <c r="G24" s="4">
        <f t="shared" si="0"/>
        <v>0.59090909090909094</v>
      </c>
      <c r="H24" s="4">
        <f t="shared" si="1"/>
        <v>0.72397370880059086</v>
      </c>
      <c r="J24" s="4">
        <f t="shared" si="2"/>
        <v>1.4364116555493356</v>
      </c>
      <c r="K24" s="4">
        <f t="shared" si="3"/>
        <v>1.4364116555493356</v>
      </c>
      <c r="L24" s="4"/>
      <c r="M24" s="4">
        <f t="shared" si="4"/>
        <v>1.3403101230012457</v>
      </c>
      <c r="N24" s="4"/>
      <c r="O24" s="4">
        <f t="shared" si="5"/>
        <v>0.4299325944064652</v>
      </c>
      <c r="P24" s="4"/>
      <c r="Q24" s="4">
        <f t="shared" si="6"/>
        <v>0.32497684692014378</v>
      </c>
      <c r="S24" s="3">
        <f t="shared" si="7"/>
        <v>0</v>
      </c>
      <c r="T24" s="3">
        <f t="shared" si="8"/>
        <v>0</v>
      </c>
    </row>
    <row r="25" spans="2:20" x14ac:dyDescent="0.2">
      <c r="B25" s="5">
        <v>18</v>
      </c>
      <c r="C25" s="5">
        <v>1</v>
      </c>
      <c r="D25" s="5">
        <v>57</v>
      </c>
      <c r="E25" s="5">
        <v>0</v>
      </c>
      <c r="G25" s="4">
        <f t="shared" si="0"/>
        <v>0.81818181818181823</v>
      </c>
      <c r="H25" s="4">
        <f t="shared" si="1"/>
        <v>-1.0859605632008862</v>
      </c>
      <c r="J25" s="4">
        <f t="shared" si="2"/>
        <v>-2.154617483324003</v>
      </c>
      <c r="K25" s="4">
        <f t="shared" si="3"/>
        <v>-2.154617483324003</v>
      </c>
      <c r="L25" s="4"/>
      <c r="M25" s="4">
        <f t="shared" si="4"/>
        <v>-2.010465184501868</v>
      </c>
      <c r="N25" s="4"/>
      <c r="O25" s="4">
        <f t="shared" si="5"/>
        <v>0.60424615816332317</v>
      </c>
      <c r="P25" s="4"/>
      <c r="Q25" s="4">
        <f t="shared" si="6"/>
        <v>0.15662110332848941</v>
      </c>
      <c r="S25" s="3">
        <f t="shared" si="7"/>
        <v>1</v>
      </c>
      <c r="T25" s="3">
        <f t="shared" si="8"/>
        <v>1</v>
      </c>
    </row>
    <row r="26" spans="2:20" x14ac:dyDescent="0.2">
      <c r="B26" s="5">
        <v>19</v>
      </c>
      <c r="C26" s="5">
        <v>0</v>
      </c>
      <c r="D26" s="5">
        <v>49</v>
      </c>
      <c r="E26" s="5">
        <v>3</v>
      </c>
      <c r="G26" s="4">
        <f t="shared" si="0"/>
        <v>0.63636363636363635</v>
      </c>
      <c r="H26" s="4">
        <f t="shared" si="1"/>
        <v>1.6289408448013294</v>
      </c>
      <c r="J26" s="4">
        <f t="shared" si="2"/>
        <v>3.2319262249860046</v>
      </c>
      <c r="K26" s="4">
        <f t="shared" si="3"/>
        <v>3.2319262249860046</v>
      </c>
      <c r="L26" s="4"/>
      <c r="M26" s="4">
        <f t="shared" si="4"/>
        <v>3.0156977767528019</v>
      </c>
      <c r="N26" s="4"/>
      <c r="O26" s="4">
        <f t="shared" si="5"/>
        <v>0.34642659973576617</v>
      </c>
      <c r="P26" s="4"/>
      <c r="Q26" s="4">
        <f t="shared" si="6"/>
        <v>0.12001138900448474</v>
      </c>
      <c r="S26" s="3">
        <f t="shared" si="7"/>
        <v>0</v>
      </c>
      <c r="T26" s="3">
        <f t="shared" si="8"/>
        <v>1</v>
      </c>
    </row>
    <row r="27" spans="2:20" x14ac:dyDescent="0.2">
      <c r="B27" s="5">
        <v>20</v>
      </c>
      <c r="C27" s="5">
        <v>0</v>
      </c>
      <c r="D27" s="5">
        <v>22</v>
      </c>
      <c r="E27" s="5">
        <v>1</v>
      </c>
      <c r="G27" s="4">
        <f t="shared" si="0"/>
        <v>2.2727272727272728E-2</v>
      </c>
      <c r="H27" s="4">
        <f t="shared" si="1"/>
        <v>-0.18099342720014769</v>
      </c>
      <c r="J27" s="4">
        <f t="shared" si="2"/>
        <v>-0.35910291388733384</v>
      </c>
      <c r="K27" s="4">
        <f t="shared" si="3"/>
        <v>-0.35910291388733384</v>
      </c>
      <c r="L27" s="4"/>
      <c r="M27" s="4">
        <f t="shared" si="4"/>
        <v>-0.33507753075031138</v>
      </c>
      <c r="N27" s="4"/>
      <c r="O27" s="4">
        <f t="shared" si="5"/>
        <v>0.51762557940580678</v>
      </c>
      <c r="P27" s="4"/>
      <c r="Q27" s="4">
        <f t="shared" si="6"/>
        <v>0.26793624045519721</v>
      </c>
      <c r="S27" s="3">
        <f t="shared" si="7"/>
        <v>1</v>
      </c>
      <c r="T27" s="3">
        <f t="shared" si="8"/>
        <v>0</v>
      </c>
    </row>
    <row r="28" spans="2:20" x14ac:dyDescent="0.2">
      <c r="Q28" s="4"/>
    </row>
    <row r="29" spans="2:20" x14ac:dyDescent="0.2">
      <c r="Q29" s="4"/>
    </row>
    <row r="30" spans="2:20" x14ac:dyDescent="0.2">
      <c r="Q30" s="4"/>
    </row>
    <row r="31" spans="2:20" x14ac:dyDescent="0.2">
      <c r="Q31" s="4"/>
    </row>
    <row r="32" spans="2:20" x14ac:dyDescent="0.2">
      <c r="Q32" s="4"/>
    </row>
    <row r="33" spans="17:17" x14ac:dyDescent="0.2">
      <c r="Q33" s="4"/>
    </row>
    <row r="34" spans="17:17" x14ac:dyDescent="0.2">
      <c r="Q34" s="4"/>
    </row>
    <row r="35" spans="17:17" x14ac:dyDescent="0.2">
      <c r="Q35" s="4"/>
    </row>
    <row r="36" spans="17:17" x14ac:dyDescent="0.2">
      <c r="Q36" s="4"/>
    </row>
    <row r="37" spans="17:17" x14ac:dyDescent="0.2">
      <c r="Q37" s="4"/>
    </row>
    <row r="38" spans="17:17" x14ac:dyDescent="0.2">
      <c r="Q38" s="4"/>
    </row>
    <row r="39" spans="17:17" x14ac:dyDescent="0.2">
      <c r="Q39" s="4"/>
    </row>
  </sheetData>
  <mergeCells count="5">
    <mergeCell ref="S5:T5"/>
    <mergeCell ref="B6:B7"/>
    <mergeCell ref="G6:H6"/>
    <mergeCell ref="J6:K6"/>
    <mergeCell ref="S6:T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E1. 1c1n</vt:lpstr>
      <vt:lpstr>E2. 1c2n</vt:lpstr>
      <vt:lpstr>E3. 1c2n Sigmoid</vt:lpstr>
      <vt:lpstr>E4. 2c1n Sigmoid</vt:lpstr>
      <vt:lpstr>Qué se modifica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IbaÃ±ez</dc:creator>
  <cp:lastModifiedBy>Franco Mansilla IbaÃ±ez</cp:lastModifiedBy>
  <dcterms:created xsi:type="dcterms:W3CDTF">2026-01-20T00:10:47Z</dcterms:created>
  <dcterms:modified xsi:type="dcterms:W3CDTF">2026-01-20T01:00:56Z</dcterms:modified>
</cp:coreProperties>
</file>